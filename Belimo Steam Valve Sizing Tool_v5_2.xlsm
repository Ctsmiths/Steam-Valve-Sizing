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Users\smithri\Documents\9_Steam Applications\"/>
    </mc:Choice>
  </mc:AlternateContent>
  <xr:revisionPtr revIDLastSave="0" documentId="13_ncr:1_{58349538-0BC8-4B0C-AC78-AE31D4CEA584}" xr6:coauthVersionLast="47" xr6:coauthVersionMax="47" xr10:uidLastSave="{00000000-0000-0000-0000-000000000000}"/>
  <bookViews>
    <workbookView xWindow="-120" yWindow="-120" windowWidth="29040" windowHeight="15840" tabRatio="792" firstSheet="1" activeTab="1" xr2:uid="{00000000-000D-0000-FFFF-FFFF00000000}"/>
  </bookViews>
  <sheets>
    <sheet name="Config" sheetId="18" state="hidden" r:id="rId1"/>
    <sheet name="Calculator" sheetId="24" r:id="rId2"/>
    <sheet name="Summary" sheetId="27" r:id="rId3"/>
    <sheet name="Velocity" sheetId="29" r:id="rId4"/>
    <sheet name="BarometricPressure" sheetId="25" state="hidden" r:id="rId5"/>
    <sheet name="SaturationChartISA" sheetId="6" r:id="rId6"/>
    <sheet name="SaturationChartMetric" sheetId="21" state="hidden" r:id="rId7"/>
    <sheet name="Valves" sheetId="28" r:id="rId8"/>
    <sheet name="Steam Flow Table" sheetId="31" r:id="rId9"/>
    <sheet name="SteamPipeSize" sheetId="33" r:id="rId10"/>
    <sheet name="Help" sheetId="34" state="hidden" r:id="rId11"/>
  </sheets>
  <functionGroups builtInGroupCount="19"/>
  <definedNames>
    <definedName name="A">Calculator!$K$32</definedName>
    <definedName name="AP">Calculator!$C$15</definedName>
    <definedName name="App">Calculator!$D$6</definedName>
    <definedName name="BarPressure">Calculator!$D$15</definedName>
    <definedName name="cpdh">Calculator!$H$38</definedName>
    <definedName name="Ctrl">Calculator!$D$8</definedName>
    <definedName name="Cv">Calculator!$C$28</definedName>
    <definedName name="cvOneThird">Calculator!$C$39</definedName>
    <definedName name="CvS">Calculator!$H$37</definedName>
    <definedName name="cvTwoThird">Calculator!$D$39</definedName>
    <definedName name="DisclaimerRow">Summary!$Q$2</definedName>
    <definedName name="DisclaimerValue">Summary!$Q$1</definedName>
    <definedName name="DSP">Calculator!$C$24</definedName>
    <definedName name="f_cfoQ">Calculator!$N$27</definedName>
    <definedName name="f_cpdh">Calculator!$N$26</definedName>
    <definedName name="FlowRate">Calculator!$D$12</definedName>
    <definedName name="frOneThird">Calculator!$C$41</definedName>
    <definedName name="frTwoThird">Calculator!$D$41</definedName>
    <definedName name="h">Calculator!$C$25</definedName>
    <definedName name="PI">Calculator!$C$26</definedName>
    <definedName name="Pia">Calculator!$N$23</definedName>
    <definedName name="piValue">Calculator!$C$13</definedName>
    <definedName name="PO">Calculator!$N$22</definedName>
    <definedName name="POA">Calculator!$C$27</definedName>
    <definedName name="poValue">Calculator!$C$14</definedName>
    <definedName name="PSI">Calculator!$D$14</definedName>
    <definedName name="Q">Calculator!$N$25</definedName>
    <definedName name="qValue">Calculator!$C$12</definedName>
    <definedName name="rDate">Calculator!$H$51</definedName>
    <definedName name="rUpdMode">Calculator!$H$52</definedName>
    <definedName name="rVersion">Calculator!$H$50</definedName>
    <definedName name="SATURATIONCHART">SaturationChartISA!$A$1</definedName>
    <definedName name="SATURATIONCHARTMETRIC">SaturationChartMetric!$A$1</definedName>
    <definedName name="TAG">Summary!#REF!</definedName>
    <definedName name="uPipeSize">Calculator!$H$24</definedName>
    <definedName name="uSteamType">Calculator!$H$26</definedName>
    <definedName name="uValveCv">Calculator!$H$27</definedName>
    <definedName name="uValveSize">Calculator!$H$25</definedName>
    <definedName name="uValveType">Calculator!$H$23</definedName>
    <definedName name="valveSize">Calculator!$K$32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 i="28" l="1"/>
  <c r="Q14" i="28"/>
  <c r="Q13" i="28"/>
  <c r="Q12" i="28"/>
  <c r="Q11" i="28"/>
  <c r="Q10" i="28"/>
  <c r="Q9" i="28"/>
  <c r="Q8" i="28"/>
  <c r="Q7" i="28"/>
  <c r="Q6" i="28"/>
  <c r="Q5" i="28"/>
  <c r="Q4" i="28"/>
  <c r="Q3" i="28"/>
  <c r="Q2" i="28"/>
  <c r="B41" i="24"/>
</calcChain>
</file>

<file path=xl/sharedStrings.xml><?xml version="1.0" encoding="utf-8"?>
<sst xmlns="http://schemas.openxmlformats.org/spreadsheetml/2006/main" count="758" uniqueCount="450">
  <si>
    <t>Pressure</t>
  </si>
  <si>
    <t>(°F)</t>
  </si>
  <si>
    <t>Properties of Saturated Steam</t>
  </si>
  <si>
    <t>Temper-  ature</t>
  </si>
  <si>
    <t>Heat (BTU/lb)</t>
  </si>
  <si>
    <r>
      <t>Volume (ft</t>
    </r>
    <r>
      <rPr>
        <b/>
        <vertAlign val="superscript"/>
        <sz val="10"/>
        <rFont val="Arial"/>
        <family val="2"/>
      </rPr>
      <t>3</t>
    </r>
    <r>
      <rPr>
        <b/>
        <sz val="10"/>
        <rFont val="Arial"/>
        <family val="2"/>
      </rPr>
      <t>/lb)</t>
    </r>
  </si>
  <si>
    <t>Sensible</t>
  </si>
  <si>
    <t>Latent</t>
  </si>
  <si>
    <t>Total</t>
  </si>
  <si>
    <t>Cond</t>
  </si>
  <si>
    <t>Steam</t>
  </si>
  <si>
    <t>Pressure Drop</t>
  </si>
  <si>
    <t>Heat (KJ/Kg)</t>
  </si>
  <si>
    <r>
      <t>Volume (m</t>
    </r>
    <r>
      <rPr>
        <b/>
        <vertAlign val="superscript"/>
        <sz val="10"/>
        <rFont val="Arial"/>
        <family val="2"/>
      </rPr>
      <t>3</t>
    </r>
    <r>
      <rPr>
        <b/>
        <sz val="10"/>
        <rFont val="Arial"/>
        <family val="2"/>
      </rPr>
      <t>/kg)</t>
    </r>
  </si>
  <si>
    <t>Volume (m3/kg)</t>
  </si>
  <si>
    <t>(°C)</t>
  </si>
  <si>
    <t>(bar, gage)</t>
  </si>
  <si>
    <t>(bar vac)</t>
  </si>
  <si>
    <t>Modulating</t>
  </si>
  <si>
    <t>FLOWRATE  [Q]</t>
  </si>
  <si>
    <t>LB/HR</t>
  </si>
  <si>
    <t>Atmospheric Pressure  [AP]</t>
  </si>
  <si>
    <t>psig (gauge)</t>
  </si>
  <si>
    <t>psia (absolute)</t>
  </si>
  <si>
    <t>Enter Cv Value of Valve</t>
  </si>
  <si>
    <t>On/Off</t>
  </si>
  <si>
    <t>MBH</t>
  </si>
  <si>
    <t>State</t>
  </si>
  <si>
    <t>Average Barometric Pressure (inHg)</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</si>
  <si>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</si>
  <si>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</si>
  <si>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</si>
  <si>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</si>
  <si>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</si>
  <si>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</si>
  <si>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</si>
  <si>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</si>
  <si>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</si>
  <si>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</si>
  <si>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</si>
  <si>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</si>
  <si>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</si>
  <si>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</si>
  <si>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</si>
  <si>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</si>
  <si>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</si>
  <si>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</si>
  <si>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</si>
  <si>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</si>
  <si>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</si>
  <si>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</si>
  <si>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</si>
  <si>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</si>
  <si>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</si>
  <si>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</si>
  <si>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</si>
  <si>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</si>
  <si>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</si>
  <si>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</si>
  <si>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</si>
  <si>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</si>
  <si>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</si>
  <si>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</si>
  <si>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</si>
  <si>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</si>
  <si>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</si>
  <si>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</si>
  <si>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</si>
  <si>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</si>
  <si>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</si>
  <si>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</si>
  <si>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</si>
  <si>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</si>
  <si>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</si>
  <si>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</si>
  <si>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</si>
  <si>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</si>
  <si>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</si>
  <si>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</si>
  <si>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Source: National Centers for Environmental Information (NCEI)</t>
  </si>
  <si>
    <t>Average Barometric Pressure (psia)</t>
  </si>
  <si>
    <t>1 inHg = 0.491 psia</t>
  </si>
  <si>
    <t>Default</t>
  </si>
  <si>
    <t>Sea Level</t>
  </si>
  <si>
    <t>On/Off or Modulating Control? [Ctrl]</t>
  </si>
  <si>
    <t>1/3rd - 2/3rds Valve Calculator</t>
  </si>
  <si>
    <t>OUTLET Pressure  [PO]</t>
  </si>
  <si>
    <t>Steam Radiators have a typical pressure drop of 0.50 Sizing with that or 0.25 is acceptable</t>
  </si>
  <si>
    <t>Single pipe radiators should be on/off line sized only due to hammering. The air vent controls the steam output not the valve</t>
  </si>
  <si>
    <t>EDR</t>
  </si>
  <si>
    <t>BTU/HR</t>
  </si>
  <si>
    <t>Application</t>
  </si>
  <si>
    <t>Control</t>
  </si>
  <si>
    <t>Flow</t>
  </si>
  <si>
    <t>Heat Exchanger</t>
  </si>
  <si>
    <t>Fin Tube</t>
  </si>
  <si>
    <t>Radiator</t>
  </si>
  <si>
    <t>Coil</t>
  </si>
  <si>
    <t xml:space="preserve"> Steam Data</t>
  </si>
  <si>
    <t xml:space="preserve"> Application Data</t>
  </si>
  <si>
    <t>Application  [APP]</t>
  </si>
  <si>
    <t>`</t>
  </si>
  <si>
    <t>PSIG</t>
  </si>
  <si>
    <t xml:space="preserve">      PSIG (gauge)</t>
  </si>
  <si>
    <t>Cv 1/3rd - 2/3rd :</t>
  </si>
  <si>
    <t xml:space="preserve"> </t>
  </si>
  <si>
    <t>Cv</t>
  </si>
  <si>
    <t>Tag</t>
  </si>
  <si>
    <t>Unit</t>
  </si>
  <si>
    <t>Outlet Pressure</t>
  </si>
  <si>
    <t>[psi]</t>
  </si>
  <si>
    <t>[psia]</t>
  </si>
  <si>
    <t>Critical</t>
  </si>
  <si>
    <t>Supply INLET Pressure [PI]</t>
  </si>
  <si>
    <t>1/3rd</t>
  </si>
  <si>
    <t>2/3rds</t>
  </si>
  <si>
    <r>
      <t>Downstream Psig</t>
    </r>
    <r>
      <rPr>
        <b/>
        <sz val="10"/>
        <rFont val="Arial"/>
        <family val="2"/>
      </rPr>
      <t xml:space="preserve"> [DSP]</t>
    </r>
  </si>
  <si>
    <r>
      <t xml:space="preserve">PSI DROP </t>
    </r>
    <r>
      <rPr>
        <b/>
        <sz val="10"/>
        <rFont val="Arial"/>
        <family val="2"/>
      </rPr>
      <t>[h]</t>
    </r>
  </si>
  <si>
    <r>
      <t xml:space="preserve">Inlet Pressure </t>
    </r>
    <r>
      <rPr>
        <b/>
        <sz val="10"/>
        <color theme="1"/>
        <rFont val="Arial"/>
        <family val="2"/>
      </rPr>
      <t>[Pi]</t>
    </r>
  </si>
  <si>
    <r>
      <t xml:space="preserve">Outlet Pressure + AP </t>
    </r>
    <r>
      <rPr>
        <b/>
        <sz val="10"/>
        <color theme="1"/>
        <rFont val="Arial"/>
        <family val="2"/>
      </rPr>
      <t>[Poa]</t>
    </r>
  </si>
  <si>
    <t>Note</t>
  </si>
  <si>
    <t>Flow Rate [Q]</t>
  </si>
  <si>
    <t>Inlet Pressure [PI]</t>
  </si>
  <si>
    <t>Outlet Pressure [PO]</t>
  </si>
  <si>
    <t>Atmospheric Pressure [AP]</t>
  </si>
  <si>
    <t>Down Stream [Psig]</t>
  </si>
  <si>
    <t>Release Version:</t>
  </si>
  <si>
    <t>Release Date:</t>
  </si>
  <si>
    <t>Update Mode:</t>
  </si>
  <si>
    <t xml:space="preserve">                                   </t>
  </si>
  <si>
    <t>B6800VB-865</t>
  </si>
  <si>
    <t>B6600VB-507</t>
  </si>
  <si>
    <t>B6400VB-350</t>
  </si>
  <si>
    <t>G220S-K</t>
  </si>
  <si>
    <t>G220S-J</t>
  </si>
  <si>
    <t>HTCCV</t>
  </si>
  <si>
    <t>B220HT928</t>
  </si>
  <si>
    <t>B220HT731</t>
  </si>
  <si>
    <t>B220HT464</t>
  </si>
  <si>
    <t>B220HT290</t>
  </si>
  <si>
    <t>B220HT186</t>
  </si>
  <si>
    <t>B220HT1320</t>
  </si>
  <si>
    <t>B219VSS</t>
  </si>
  <si>
    <t>B6300VB-207</t>
  </si>
  <si>
    <t>G250S-N</t>
  </si>
  <si>
    <t>B249VSS</t>
  </si>
  <si>
    <t>B2200VB-077</t>
  </si>
  <si>
    <t>B61200VB-1905</t>
  </si>
  <si>
    <t>B61000VB-1550</t>
  </si>
  <si>
    <t>G225S-L</t>
  </si>
  <si>
    <t>G225S-K</t>
  </si>
  <si>
    <t>B225HT731</t>
  </si>
  <si>
    <t>B225HT464</t>
  </si>
  <si>
    <t>B225HT2800</t>
  </si>
  <si>
    <t>B225HT1856</t>
  </si>
  <si>
    <t>B225HT1160</t>
  </si>
  <si>
    <t>B224VSS</t>
  </si>
  <si>
    <t>B2100VB-024</t>
  </si>
  <si>
    <t>G232S-M</t>
  </si>
  <si>
    <t>G240S-N</t>
  </si>
  <si>
    <t>B2150VB-055</t>
  </si>
  <si>
    <t>G215S-J</t>
  </si>
  <si>
    <t>G215S-G</t>
  </si>
  <si>
    <t>G215S-F</t>
  </si>
  <si>
    <t>G215S-C</t>
  </si>
  <si>
    <t>B215HT455</t>
  </si>
  <si>
    <t>B215HT290</t>
  </si>
  <si>
    <t>B215HT186</t>
  </si>
  <si>
    <t>B215HT116</t>
  </si>
  <si>
    <t>B215HT073</t>
  </si>
  <si>
    <t>B215HT046</t>
  </si>
  <si>
    <t>B215HT029</t>
  </si>
  <si>
    <t>B2050VSS-15</t>
  </si>
  <si>
    <t>B2050VS-15</t>
  </si>
  <si>
    <t>B2050VS-04</t>
  </si>
  <si>
    <t>B2050VS-02</t>
  </si>
  <si>
    <t>B2050VS-01</t>
  </si>
  <si>
    <t>Size</t>
  </si>
  <si>
    <t>Part #</t>
  </si>
  <si>
    <t>Type</t>
  </si>
  <si>
    <t>Cv Calculator Results</t>
  </si>
  <si>
    <t>Cv REQUIRED [Cv]</t>
  </si>
  <si>
    <t>psig</t>
  </si>
  <si>
    <t>°F</t>
  </si>
  <si>
    <t>PI</t>
  </si>
  <si>
    <t>Corrected Pressure Drop [h] &amp; [Q]  Based on Valve Cv</t>
  </si>
  <si>
    <t>[LB/HR]</t>
  </si>
  <si>
    <t>Corrected Pressure Drop [h]</t>
  </si>
  <si>
    <t>Corrected Flow Output [Q]</t>
  </si>
  <si>
    <t>Supply PI (psig)</t>
  </si>
  <si>
    <t>Invalid</t>
  </si>
  <si>
    <t>Subcritical</t>
  </si>
  <si>
    <t>Choked</t>
  </si>
  <si>
    <t>4-inch</t>
  </si>
  <si>
    <t>Capacity (lb/hour)</t>
  </si>
  <si>
    <t>Pipe Size (inch)</t>
  </si>
  <si>
    <t>Pressure (psi)</t>
  </si>
  <si>
    <t>Steam Speed (ft/sec)</t>
  </si>
  <si>
    <t>Saturation Temperature</t>
  </si>
  <si>
    <r>
      <t>Specific Enthalpy of Water (h</t>
    </r>
    <r>
      <rPr>
        <b/>
        <vertAlign val="subscript"/>
        <sz val="9"/>
        <color rgb="FF000000"/>
        <rFont val="Arial"/>
        <family val="2"/>
      </rPr>
      <t>f</t>
    </r>
    <r>
      <rPr>
        <b/>
        <sz val="9"/>
        <color rgb="FF000000"/>
        <rFont val="Arial"/>
        <family val="2"/>
      </rPr>
      <t>)</t>
    </r>
  </si>
  <si>
    <r>
      <t>Specific Enthalpy of Evaporation (h</t>
    </r>
    <r>
      <rPr>
        <b/>
        <vertAlign val="subscript"/>
        <sz val="9"/>
        <color rgb="FF000000"/>
        <rFont val="Arial"/>
        <family val="2"/>
      </rPr>
      <t>fg</t>
    </r>
    <r>
      <rPr>
        <b/>
        <sz val="9"/>
        <color rgb="FF000000"/>
        <rFont val="Arial"/>
        <family val="2"/>
      </rPr>
      <t>)</t>
    </r>
  </si>
  <si>
    <r>
      <t>Specific Enthalpy of Steam (h</t>
    </r>
    <r>
      <rPr>
        <b/>
        <vertAlign val="subscript"/>
        <sz val="9"/>
        <color rgb="FF000000"/>
        <rFont val="Arial"/>
        <family val="2"/>
      </rPr>
      <t>g</t>
    </r>
    <r>
      <rPr>
        <b/>
        <sz val="9"/>
        <color rgb="FF000000"/>
        <rFont val="Arial"/>
        <family val="2"/>
      </rPr>
      <t>)</t>
    </r>
  </si>
  <si>
    <t>Density of Steam</t>
  </si>
  <si>
    <r>
      <t>Specific Volume of Steam (v</t>
    </r>
    <r>
      <rPr>
        <b/>
        <vertAlign val="subscript"/>
        <sz val="9"/>
        <color rgb="FF000000"/>
        <rFont val="Arial"/>
        <family val="2"/>
      </rPr>
      <t>g</t>
    </r>
    <r>
      <rPr>
        <b/>
        <sz val="9"/>
        <color rgb="FF000000"/>
        <rFont val="Arial"/>
        <family val="2"/>
      </rPr>
      <t>)</t>
    </r>
  </si>
  <si>
    <r>
      <t>Specific Entropy of Water (s</t>
    </r>
    <r>
      <rPr>
        <b/>
        <vertAlign val="subscript"/>
        <sz val="9"/>
        <color rgb="FF000000"/>
        <rFont val="Arial"/>
        <family val="2"/>
      </rPr>
      <t>f</t>
    </r>
    <r>
      <rPr>
        <b/>
        <sz val="9"/>
        <color rgb="FF000000"/>
        <rFont val="Arial"/>
        <family val="2"/>
      </rPr>
      <t>)</t>
    </r>
  </si>
  <si>
    <r>
      <t>Specific Entropy of Evaporation (s</t>
    </r>
    <r>
      <rPr>
        <b/>
        <vertAlign val="subscript"/>
        <sz val="9"/>
        <color rgb="FF000000"/>
        <rFont val="Arial"/>
        <family val="2"/>
      </rPr>
      <t>fg</t>
    </r>
    <r>
      <rPr>
        <b/>
        <sz val="9"/>
        <color rgb="FF000000"/>
        <rFont val="Arial"/>
        <family val="2"/>
      </rPr>
      <t>)</t>
    </r>
  </si>
  <si>
    <r>
      <t>Specific Entropy of Steam (s</t>
    </r>
    <r>
      <rPr>
        <b/>
        <vertAlign val="subscript"/>
        <sz val="9"/>
        <color rgb="FF000000"/>
        <rFont val="Arial"/>
        <family val="2"/>
      </rPr>
      <t>g</t>
    </r>
    <r>
      <rPr>
        <b/>
        <sz val="9"/>
        <color rgb="FF000000"/>
        <rFont val="Arial"/>
        <family val="2"/>
      </rPr>
      <t>)</t>
    </r>
  </si>
  <si>
    <r>
      <t>Specific Heat of Steam (c</t>
    </r>
    <r>
      <rPr>
        <b/>
        <vertAlign val="subscript"/>
        <sz val="9"/>
        <color rgb="FF000000"/>
        <rFont val="Arial"/>
        <family val="2"/>
      </rPr>
      <t>v</t>
    </r>
    <r>
      <rPr>
        <b/>
        <sz val="9"/>
        <color rgb="FF000000"/>
        <rFont val="Arial"/>
        <family val="2"/>
      </rPr>
      <t>)</t>
    </r>
  </si>
  <si>
    <r>
      <t>Specific Heat of Steam (c</t>
    </r>
    <r>
      <rPr>
        <b/>
        <vertAlign val="subscript"/>
        <sz val="9"/>
        <color rgb="FF000000"/>
        <rFont val="Arial"/>
        <family val="2"/>
      </rPr>
      <t>p</t>
    </r>
    <r>
      <rPr>
        <b/>
        <sz val="9"/>
        <color rgb="FF000000"/>
        <rFont val="Arial"/>
        <family val="2"/>
      </rPr>
      <t>)</t>
    </r>
  </si>
  <si>
    <t>Speed of sound</t>
  </si>
  <si>
    <t>Dynamic Viscosity of Steam</t>
  </si>
  <si>
    <t>Isentropic Coefficient (k)</t>
  </si>
  <si>
    <t>Compressibility Factor of Steam</t>
  </si>
  <si>
    <t>psi gauge</t>
  </si>
  <si>
    <t>Btu/lb</t>
  </si>
  <si>
    <t>lb/ft³</t>
  </si>
  <si>
    <t>ft³/lb</t>
  </si>
  <si>
    <t>Btu/lb °F</t>
  </si>
  <si>
    <t>ft/s</t>
  </si>
  <si>
    <t>lb/ft s</t>
  </si>
  <si>
    <t>Spirax</t>
  </si>
  <si>
    <t>3-inch</t>
  </si>
  <si>
    <t>5-inch</t>
  </si>
  <si>
    <t>0.5-inch</t>
  </si>
  <si>
    <t>0.75-inch</t>
  </si>
  <si>
    <t>1-inch</t>
  </si>
  <si>
    <t>1.5-inch</t>
  </si>
  <si>
    <t>2-inch</t>
  </si>
  <si>
    <t>2.5-inch</t>
  </si>
  <si>
    <t>6-inch</t>
  </si>
  <si>
    <t>Ball Dia</t>
  </si>
  <si>
    <t>📘 Understanding Steam Flow Units and Pipe Velocity</t>
  </si>
  <si>
    <r>
      <t xml:space="preserve">Steam piping systems often show flow rate in </t>
    </r>
    <r>
      <rPr>
        <b/>
        <sz val="10"/>
        <rFont val="Arial"/>
        <family val="2"/>
      </rPr>
      <t>pounds per hour (lb/hr)</t>
    </r>
    <r>
      <rPr>
        <sz val="10"/>
        <rFont val="Arial"/>
        <family val="2"/>
      </rPr>
      <t xml:space="preserve"> because this is how boilers and heat exchangers are sized. However, when calculating </t>
    </r>
    <r>
      <rPr>
        <b/>
        <sz val="10"/>
        <rFont val="Arial"/>
        <family val="2"/>
      </rPr>
      <t>velocity</t>
    </r>
    <r>
      <rPr>
        <sz val="10"/>
        <rFont val="Arial"/>
        <family val="2"/>
      </rPr>
      <t xml:space="preserve">, you must work in </t>
    </r>
    <r>
      <rPr>
        <b/>
        <sz val="10"/>
        <rFont val="Arial"/>
        <family val="2"/>
      </rPr>
      <t>volume per unit of time (cubic feet per second, ft³/sec)</t>
    </r>
    <r>
      <rPr>
        <sz val="10"/>
        <rFont val="Arial"/>
        <family val="2"/>
      </rPr>
      <t xml:space="preserve"> because:</t>
    </r>
  </si>
  <si>
    <r>
      <t>Velocity (ft/sec)=Volumetric Flow Rate (ft³/sec)Pipe Cross-Sectional Area (ft²)\text{Velocity (ft/sec)} = \frac{\text{Volumetric Flow Rate (ft³/sec)}}{\text{Pipe Cross-Sectional Area (ft²)}}</t>
    </r>
    <r>
      <rPr>
        <sz val="10"/>
        <rFont val="Arial"/>
        <family val="2"/>
      </rPr>
      <t>Velocity (ft/sec)=Pipe Cross-Sectional Area (ft²)Volumetric Flow Rate (ft³/sec)​</t>
    </r>
  </si>
  <si>
    <r>
      <t xml:space="preserve">This means you need to </t>
    </r>
    <r>
      <rPr>
        <b/>
        <sz val="10"/>
        <rFont val="Arial"/>
        <family val="2"/>
      </rPr>
      <t>convert mass flow to volume flow</t>
    </r>
    <r>
      <rPr>
        <sz val="10"/>
        <rFont val="Arial"/>
        <family val="2"/>
      </rPr>
      <t xml:space="preserve"> using steam’s density.</t>
    </r>
  </si>
  <si>
    <t>🔹 How to Convert lb/hr to ft³/sec</t>
  </si>
  <si>
    <r>
      <t xml:space="preserve">Every pound of steam occupies a certain </t>
    </r>
    <r>
      <rPr>
        <b/>
        <sz val="10"/>
        <rFont val="Arial"/>
        <family val="2"/>
      </rPr>
      <t>volume</t>
    </r>
    <r>
      <rPr>
        <sz val="10"/>
        <rFont val="Arial"/>
        <family val="2"/>
      </rPr>
      <t xml:space="preserve">, depending on its </t>
    </r>
    <r>
      <rPr>
        <b/>
        <sz val="10"/>
        <rFont val="Arial"/>
        <family val="2"/>
      </rPr>
      <t>pressure and temperature</t>
    </r>
    <r>
      <rPr>
        <sz val="10"/>
        <rFont val="Arial"/>
        <family val="2"/>
      </rPr>
      <t xml:space="preserve">. This is called the </t>
    </r>
    <r>
      <rPr>
        <b/>
        <sz val="10"/>
        <rFont val="Arial"/>
        <family val="2"/>
      </rPr>
      <t>specific volume</t>
    </r>
    <r>
      <rPr>
        <sz val="10"/>
        <rFont val="Arial"/>
        <family val="2"/>
      </rPr>
      <t xml:space="preserve">, expressed in </t>
    </r>
    <r>
      <rPr>
        <b/>
        <sz val="10"/>
        <rFont val="Arial"/>
        <family val="2"/>
      </rPr>
      <t>ft³/lb</t>
    </r>
    <r>
      <rPr>
        <sz val="10"/>
        <rFont val="Arial"/>
        <family val="2"/>
      </rPr>
      <t>.</t>
    </r>
  </si>
  <si>
    <t>Conversion Steps:</t>
  </si>
  <si>
    <t>1. Compute Volumetric Flow Rate:</t>
  </si>
  <si>
    <r>
      <t>Volumetric Flow (ft³/hr)=Mass Flow (lb/hr)×Specific Volume (ft³/lb)\text{Volumetric Flow (ft³/hr)} = \text{Mass Flow (lb/hr)} × \text{Specific Volume (ft³/lb)}</t>
    </r>
    <r>
      <rPr>
        <sz val="10"/>
        <rFont val="Arial"/>
        <family val="2"/>
      </rPr>
      <t>Volumetric Flow (ft³/hr)=Mass Flow (lb/hr)×Specific Volume (ft³/lb)</t>
    </r>
  </si>
  <si>
    <t>2. Convert hours to seconds:</t>
  </si>
  <si>
    <r>
      <t>Volumetric Flow (ft³/sec)=Volumetric Flow (ft³/hr)3600\text{Volumetric Flow (ft³/sec)} = \frac{\text{Volumetric Flow (ft³/hr)}}{3600}</t>
    </r>
    <r>
      <rPr>
        <sz val="10"/>
        <rFont val="Arial"/>
        <family val="2"/>
      </rPr>
      <t>Volumetric Flow (ft³/sec)=3600Volumetric Flow (ft³/hr)​</t>
    </r>
  </si>
  <si>
    <t>3. Calculate velocity:</t>
  </si>
  <si>
    <r>
      <t>Velocity (ft/sec)=Volumetric Flow (ft³/sec)Pipe Area (ft²)\text{Velocity (ft/sec)} = \frac{\text{Volumetric Flow (ft³/sec)}}{\text{Pipe Area (ft²)}}</t>
    </r>
    <r>
      <rPr>
        <sz val="10"/>
        <rFont val="Arial"/>
        <family val="2"/>
      </rPr>
      <t>Velocity (ft/sec)=Pipe Area (ft²)Volumetric Flow (ft³/sec)​</t>
    </r>
  </si>
  <si>
    <t>🔹 Example Calculation</t>
  </si>
  <si>
    <t>Given:</t>
  </si>
  <si>
    <r>
      <t xml:space="preserve">Mass Flow: </t>
    </r>
    <r>
      <rPr>
        <b/>
        <sz val="10"/>
        <rFont val="Arial"/>
        <family val="2"/>
      </rPr>
      <t>1,000 lb/hr</t>
    </r>
  </si>
  <si>
    <r>
      <t xml:space="preserve">Pressure: </t>
    </r>
    <r>
      <rPr>
        <b/>
        <sz val="10"/>
        <rFont val="Arial"/>
        <family val="2"/>
      </rPr>
      <t>5 psi</t>
    </r>
  </si>
  <si>
    <t>(Approximate Specific Volume ≈ 9.5 ft³/lb)</t>
  </si>
  <si>
    <r>
      <t xml:space="preserve">Pipe Size: </t>
    </r>
    <r>
      <rPr>
        <b/>
        <sz val="10"/>
        <rFont val="Arial"/>
        <family val="2"/>
      </rPr>
      <t>2-inch diameter</t>
    </r>
  </si>
  <si>
    <t>Step 1 – Volumetric Flow:</t>
  </si>
  <si>
    <r>
      <t>1,000×9.5=9,500ft3/hr1,000 × 9.5 = 9,500 ft³/hr</t>
    </r>
    <r>
      <rPr>
        <sz val="10"/>
        <rFont val="Arial"/>
        <family val="2"/>
      </rPr>
      <t>1,000×9.5=9,500ft3/hr</t>
    </r>
  </si>
  <si>
    <t>Step 2 – Convert to seconds:</t>
  </si>
  <si>
    <r>
      <t>9,500÷3,600≈2.64ft3/sec9,500 ÷ 3,600 ≈ 2.64 ft³/sec</t>
    </r>
    <r>
      <rPr>
        <sz val="10"/>
        <rFont val="Arial"/>
        <family val="2"/>
      </rPr>
      <t>9,500÷3,600≈2.64ft3/sec</t>
    </r>
  </si>
  <si>
    <t>Step 3 – Pipe Cross-Sectional Area:</t>
  </si>
  <si>
    <t>For a 2" pipe:</t>
  </si>
  <si>
    <r>
      <t>Area≈0.0234ft2\text{Area} ≈ 0.0234 ft²</t>
    </r>
    <r>
      <rPr>
        <sz val="10"/>
        <rFont val="Arial"/>
        <family val="2"/>
      </rPr>
      <t>Area≈0.0234ft2</t>
    </r>
  </si>
  <si>
    <t>Step 4 – Velocity:</t>
  </si>
  <si>
    <r>
      <t>2.64÷0.0234≈113ft/sec2.64 ÷ 0.0234 ≈ 113 ft/sec</t>
    </r>
    <r>
      <rPr>
        <sz val="10"/>
        <rFont val="Arial"/>
        <family val="2"/>
      </rPr>
      <t>2.64÷0.0234≈113ft/sec</t>
    </r>
  </si>
  <si>
    <t>🔹 Key Takeaways</t>
  </si>
  <si>
    <r>
      <t xml:space="preserve">✅ </t>
    </r>
    <r>
      <rPr>
        <b/>
        <sz val="10"/>
        <rFont val="Arial"/>
        <family val="2"/>
      </rPr>
      <t>Mass Flow Rate (lb/hr):</t>
    </r>
    <r>
      <rPr>
        <sz val="10"/>
        <rFont val="Arial"/>
        <family val="2"/>
      </rPr>
      <t xml:space="preserve"> How much steam your system moves</t>
    </r>
  </si>
  <si>
    <r>
      <t xml:space="preserve">✅ </t>
    </r>
    <r>
      <rPr>
        <b/>
        <sz val="10"/>
        <rFont val="Arial"/>
        <family val="2"/>
      </rPr>
      <t>Specific Volume (ft³/lb):</t>
    </r>
    <r>
      <rPr>
        <sz val="10"/>
        <rFont val="Arial"/>
        <family val="2"/>
      </rPr>
      <t xml:space="preserve"> Steam’s density at your pressure</t>
    </r>
  </si>
  <si>
    <r>
      <t xml:space="preserve">✅ </t>
    </r>
    <r>
      <rPr>
        <b/>
        <sz val="10"/>
        <rFont val="Arial"/>
        <family val="2"/>
      </rPr>
      <t>Volumetric Flow Rate (ft³/sec):</t>
    </r>
    <r>
      <rPr>
        <sz val="10"/>
        <rFont val="Arial"/>
        <family val="2"/>
      </rPr>
      <t xml:space="preserve"> How much space that steam occupies over time</t>
    </r>
  </si>
  <si>
    <r>
      <t xml:space="preserve">✅ </t>
    </r>
    <r>
      <rPr>
        <b/>
        <sz val="10"/>
        <rFont val="Arial"/>
        <family val="2"/>
      </rPr>
      <t>Velocity (ft/sec):</t>
    </r>
    <r>
      <rPr>
        <sz val="10"/>
        <rFont val="Arial"/>
        <family val="2"/>
      </rPr>
      <t xml:space="preserve"> How fast the steam is traveling through the pipe</t>
    </r>
  </si>
  <si>
    <r>
      <t>Tip:</t>
    </r>
    <r>
      <rPr>
        <sz val="10"/>
        <rFont val="Arial"/>
        <family val="2"/>
      </rPr>
      <t xml:space="preserve"> Higher velocities increase:</t>
    </r>
  </si>
  <si>
    <t>Pipe friction (pressure drop)</t>
  </si>
  <si>
    <t>Noise</t>
  </si>
  <si>
    <t>Risk of erosion</t>
  </si>
  <si>
    <t>Nominal Valve Size (inches)</t>
  </si>
  <si>
    <t>Full Port Opening (inches)</t>
  </si>
  <si>
    <t>Standard Port Opening (inches)</t>
  </si>
  <si>
    <t>1.25-inch</t>
  </si>
  <si>
    <t>Valve Size</t>
  </si>
  <si>
    <t>10-inch</t>
  </si>
  <si>
    <t>8-inch</t>
  </si>
  <si>
    <t xml:space="preserve">B219VS </t>
  </si>
  <si>
    <t xml:space="preserve">B220VS </t>
  </si>
  <si>
    <t xml:space="preserve">B224VS </t>
  </si>
  <si>
    <t xml:space="preserve">B225VS </t>
  </si>
  <si>
    <t xml:space="preserve">B232VS </t>
  </si>
  <si>
    <t xml:space="preserve">B239VS </t>
  </si>
  <si>
    <t xml:space="preserve">B240VS </t>
  </si>
  <si>
    <t xml:space="preserve">B249VS </t>
  </si>
  <si>
    <t>VS</t>
  </si>
  <si>
    <t>VSS</t>
  </si>
  <si>
    <t>Disc Area (sq-in)</t>
  </si>
  <si>
    <t>V-Ball</t>
  </si>
  <si>
    <t>Globe</t>
  </si>
  <si>
    <t>Ball Area (sq-in)</t>
  </si>
  <si>
    <t>12-inch</t>
  </si>
  <si>
    <t>Butterfly</t>
  </si>
  <si>
    <t>Supply Pipe Size</t>
  </si>
  <si>
    <t>Steam Type</t>
  </si>
  <si>
    <t>Saturated</t>
  </si>
  <si>
    <t>Superheated</t>
  </si>
  <si>
    <t>(ft3/lb)</t>
  </si>
  <si>
    <t>Ball</t>
  </si>
  <si>
    <t>Valve Type</t>
  </si>
  <si>
    <t>ValveType</t>
  </si>
  <si>
    <t>SteamType</t>
  </si>
  <si>
    <t>Model</t>
  </si>
  <si>
    <t>G665</t>
  </si>
  <si>
    <t>G680</t>
  </si>
  <si>
    <t>G6100</t>
  </si>
  <si>
    <t>G6125</t>
  </si>
  <si>
    <t>G6150</t>
  </si>
  <si>
    <t>Steam Pipe &amp; Valve Velocity  Information</t>
  </si>
  <si>
    <t>Selected Valve Cv</t>
  </si>
  <si>
    <t>System Flow (lb/hr)</t>
  </si>
  <si>
    <t xml:space="preserve">  Inch</t>
  </si>
  <si>
    <t>Steam Pipe and Valve Sizing Results</t>
  </si>
  <si>
    <t>Recommended Pipe Size</t>
  </si>
  <si>
    <t>Actual Velocity (ft/s)</t>
  </si>
  <si>
    <t>Pipe Velocity Formula</t>
  </si>
  <si>
    <t>Pipe Diameter (in)</t>
  </si>
  <si>
    <t>Required Cv</t>
  </si>
  <si>
    <t>Oversized?</t>
  </si>
  <si>
    <t>Specific Volume (ft³/lb)</t>
  </si>
  <si>
    <t>No</t>
  </si>
  <si>
    <t>Valve Velocity (ft/s)</t>
  </si>
  <si>
    <t>Valve Velocity Formula</t>
  </si>
  <si>
    <t>Mach Number</t>
  </si>
  <si>
    <t>Adequate or Not</t>
  </si>
  <si>
    <t>Yes</t>
  </si>
  <si>
    <t>Valve Diameter (in)</t>
  </si>
  <si>
    <t>Steam Flow (lb/hr)</t>
  </si>
  <si>
    <t>PI (psig)</t>
  </si>
  <si>
    <t>PO (psig)</t>
  </si>
  <si>
    <t>Target Velocity (ft/s)</t>
  </si>
  <si>
    <t>Actual Cv</t>
  </si>
  <si>
    <t>for item # 13</t>
  </si>
  <si>
    <t>1 .25</t>
  </si>
  <si>
    <t>1 .5</t>
  </si>
  <si>
    <t>2 .5</t>
  </si>
  <si>
    <t>Recommended Valve (Part#, Size, Type)</t>
  </si>
  <si>
    <t>Valve (Part#, Size, Type)</t>
  </si>
  <si>
    <t>B2050VS-01 (0.5-inch, Ball Cv- 1)</t>
  </si>
  <si>
    <t>B2050VS-02 (0.5-inch, Ball Cv- 2)</t>
  </si>
  <si>
    <t>B2050VS-04 (0.5-inch, Ball Cv- 4)</t>
  </si>
  <si>
    <t>B2050VS-15 (0.5-inch, Ball Cv- 15)</t>
  </si>
  <si>
    <t>B219VS  (0.75-inch, Ball Cv- 30)</t>
  </si>
  <si>
    <t>B220VS  (0.75-inch, Ball Cv- 51)</t>
  </si>
  <si>
    <t>B224VS  (1-inch, Ball Cv- 43)</t>
  </si>
  <si>
    <t>B225VS  (1-inch, Ball Cv- 68)</t>
  </si>
  <si>
    <t>B232VS  (1.25-inch, Ball Cv- 48)</t>
  </si>
  <si>
    <t>B239VS  (1.5-inch, Ball Cv- 84)</t>
  </si>
  <si>
    <t>B240VS  (1.5-inch, Ball Cv- 177)</t>
  </si>
  <si>
    <t>B249VS  (2-inch, Ball Cv- 108)</t>
  </si>
  <si>
    <t>B2050VSS-15 (0.5-inch, Ball Cv- 15)</t>
  </si>
  <si>
    <t>B219VSS (0.75-inch, Ball Cv- 30)</t>
  </si>
  <si>
    <t>B224VSS (1-inch, Ball Cv- 43)</t>
  </si>
  <si>
    <t>B249VSS (2-inch, Ball Cv- 108)</t>
  </si>
  <si>
    <t>B215HT029 (0.5-inch, Ball Cv- 0.29)</t>
  </si>
  <si>
    <t>B215HT046 (0.5-inch, Ball Cv- 0.46)</t>
  </si>
  <si>
    <t>B215HT073 (0.5-inch, Ball Cv- 0.73)</t>
  </si>
  <si>
    <t>B215HT116 (0.5-inch, Ball Cv- 1.16)</t>
  </si>
  <si>
    <t>B215HT186 (0.5-inch, Ball Cv- 1.86)</t>
  </si>
  <si>
    <t>B215HT290 (0.5-inch, Ball Cv- 2.9)</t>
  </si>
  <si>
    <t>B215HT455 (0.5-inch, Ball Cv- 4.55)</t>
  </si>
  <si>
    <t>B220HT186 (0.75-inch, Ball Cv- 1.86)</t>
  </si>
  <si>
    <t>B220HT290 (0.75-inch, Ball Cv- 2.9)</t>
  </si>
  <si>
    <t>B220HT464 (0.75-inch, Ball Cv- 4.64)</t>
  </si>
  <si>
    <t>B220HT731 (0.75-inch, Ball Cv- 7.31)</t>
  </si>
  <si>
    <t>B220HT928 (0.75-inch, Ball Cv- 9.28)</t>
  </si>
  <si>
    <t>B220HT1320 (0.75-inch, Ball Cv- 13.2)</t>
  </si>
  <si>
    <t>B225HT464 (1-inch, Ball Cv- 4.64)</t>
  </si>
  <si>
    <t>B225HT731 (1-inch, Ball Cv- 7.31)</t>
  </si>
  <si>
    <t>B225HT1160 (1-inch, Ball Cv- 11.6)</t>
  </si>
  <si>
    <t>B225HT1856 (1-inch, Ball Cv- 18.5)</t>
  </si>
  <si>
    <t>B225HT2800 (1-inch, Ball Cv- 28)</t>
  </si>
  <si>
    <t>B2100VB-024 (1-inch, Ball Cv- 24)</t>
  </si>
  <si>
    <t>B2150VB-055 (1.5-inch, Ball Cv- 55)</t>
  </si>
  <si>
    <t>B2200VB-077 (2-inch, Ball Cv- 77)</t>
  </si>
  <si>
    <t>B6300VB-207 (3-inch, Ball Cv- 207)</t>
  </si>
  <si>
    <t>B6400VB-350 (4-inch, Ball Cv- 350)</t>
  </si>
  <si>
    <t>B6600VB-507 (6-inch, Ball Cv- 507)</t>
  </si>
  <si>
    <t>B6800VB-865 (8-inch, Ball Cv- 865)</t>
  </si>
  <si>
    <t>B61000VB-1550 (10-inch, Ball Cv- 1550)</t>
  </si>
  <si>
    <t>B61200VB-1905 (12-inch, Ball Cv- 1905)</t>
  </si>
  <si>
    <t>G215S-C (0.5-inch, Globe Cv- 0.4)</t>
  </si>
  <si>
    <t>G215S-F (0.5-inch, Globe Cv- 1.3)</t>
  </si>
  <si>
    <t>G215S-G (0.5-inch, Globe Cv- 2.2)</t>
  </si>
  <si>
    <t>G215S-J (0.5-inch, Globe Cv- 4.4)</t>
  </si>
  <si>
    <t>G220S-J (0.75-inch, Globe Cv- 5.5)</t>
  </si>
  <si>
    <t>G220S-K (0.75-inch, Globe Cv- 7.5)</t>
  </si>
  <si>
    <t>G225S-K (1-inch, Globe Cv- 10)</t>
  </si>
  <si>
    <t>G225S-L (1-inch, Globe Cv- 14)</t>
  </si>
  <si>
    <t>G250S-N (2-inch, Globe Cv- 40)</t>
  </si>
  <si>
    <t>G680 (3-inch, Globe Cv- 90)</t>
  </si>
  <si>
    <t>G6100 (4-inch, Globe Cv- 170)</t>
  </si>
  <si>
    <t>G6125 (5-inch, Globe Cv- 263)</t>
  </si>
  <si>
    <t>G6150 (6-inch, Globe Cv- 344)</t>
  </si>
  <si>
    <t>-Select-</t>
  </si>
  <si>
    <t>Percentage</t>
  </si>
  <si>
    <t>PO</t>
  </si>
  <si>
    <t>PIA</t>
  </si>
  <si>
    <t>Q</t>
  </si>
  <si>
    <t>Corrected Drop Ratio %</t>
  </si>
  <si>
    <t>Valve Capacity (lb/hr)</t>
  </si>
  <si>
    <t>Final Flow (lb/hr)</t>
  </si>
  <si>
    <t>Regime</t>
  </si>
  <si>
    <t>Limiting Factor</t>
  </si>
  <si>
    <t>-</t>
  </si>
  <si>
    <t>System-limited</t>
  </si>
  <si>
    <t>DeltaP (psig)</t>
  </si>
  <si>
    <t>Help - Basic Terms</t>
  </si>
  <si>
    <t>Regime:</t>
  </si>
  <si>
    <t>Subcritical: DeltaP/P1_abs &lt; 0.42 (not choked).</t>
  </si>
  <si>
    <t>Choked: DeltaP/P1_abs &gt;= 0.42 (critical).</t>
  </si>
  <si>
    <t>Limiting Factor:</t>
  </si>
  <si>
    <t>System-limited: The system sets the flow; the valve could pass more.</t>
  </si>
  <si>
    <t>Valve-limited: The valve Cv is the bottleneck; the system would allow more.</t>
  </si>
  <si>
    <t>TAG</t>
  </si>
  <si>
    <t>Temp Diags</t>
  </si>
  <si>
    <t>((steamFlow * specificVolume) / 3600) / (3.14159265 * (selectedPipeID / 12) ^ 2 / 4) = ((10000.00 * 20.38) / 3600) / (3.14159265 * (6.07 / 12) ^ 2 / 4)</t>
  </si>
  <si>
    <t>G6125 (5-inch, Globe)</t>
  </si>
  <si>
    <t>((valveFlowVol) / (3.14159265 * (valveDia / 12) ^ 2 / 4)) = ((56.61) / (3.14159265 * (3.75 / 12) ^ 2 / 4))</t>
  </si>
  <si>
    <t>((valveFlowVol) / (3.14159265 * (valveDia / 12) ^ 2 / 4)) = ((56.61) / (3.14159265 * (0.19 / 12) ^ 2 / 4))</t>
  </si>
  <si>
    <t>((valveFlowVol) / (3.14159265 * (valveDia / 12) ^ 2 / 4)) = ((56.61) / (3.14159265 * (0.28 / 12) ^ 2 / 4))</t>
  </si>
  <si>
    <t>((valveFlowVol) / (3.14159265 * (valveDia / 12) ^ 2 / 4)) = ((56.61) / (3.14159265 * (0.38 / 12) ^ 2 / 4))</t>
  </si>
  <si>
    <t>((valveFlowVol) / (3.14159265 * (valveDia / 12) ^ 2 / 4)) = ((56.61) / (3.14159265 * (0.50 / 12) ^ 2 / 4))</t>
  </si>
  <si>
    <t>((valveFlowVol) / (3.14159265 * (valveDia / 12) ^ 2 / 4)) = ((56.61) / (3.14159265 * (0.68 / 12) ^ 2 / 4))</t>
  </si>
  <si>
    <t>((valveFlowVol) / (3.14159265 * (valveDia / 12) ^ 2 / 4)) = ((56.61) / (3.14159265 * (0.86 / 12) ^ 2 / 4))</t>
  </si>
  <si>
    <t>((valveFlowVol) / (3.14159265 * (valveDia / 12) ^ 2 / 4)) = ((56.61) / (3.14159265 * (0.87 / 12) ^ 2 / 4))</t>
  </si>
  <si>
    <t>((valveFlowVol) / (3.14159265 * (valveDia / 12) ^ 2 / 4)) = ((56.61) / (3.14159265 * (1.00 / 12) ^ 2 / 4))</t>
  </si>
  <si>
    <t>((valveFlowVol) / (3.14159265 * (valveDia / 12) ^ 2 / 4)) = ((56.61) / (3.14159265 * (1.25 / 12) ^ 2 / 4))</t>
  </si>
  <si>
    <t>((valveFlowVol) / (3.14159265 * (valveDia / 12) ^ 2 / 4)) = ((56.61) / (3.14159265 * (1.50 / 12) ^ 2 / 4))</t>
  </si>
  <si>
    <t>((valveFlowVol) / (3.14159265 * (valveDia / 12) ^ 2 / 4)) = ((56.61) / (3.14159265 * (0.42 / 12) ^ 2 / 4))</t>
  </si>
  <si>
    <t>((valveFlowVol) / (3.14159265 * (valveDia / 12) ^ 2 / 4)) = ((56.61) / (3.14159265 * (0.59 / 12) ^ 2 / 4))</t>
  </si>
  <si>
    <t>((valveFlowVol) / (3.14159265 * (valveDia / 12) ^ 2 / 4)) = ((56.61) / (3.14159265 * (0.79 / 12) ^ 2 / 4))</t>
  </si>
  <si>
    <t>((valveFlowVol) / (3.14159265 * (valveDia / 12) ^ 2 / 4)) = ((56.61) / (3.14159265 * (0.93 / 12) ^ 2 / 4))</t>
  </si>
  <si>
    <t>((valveFlowVol) / (3.14159265 * (valveDia / 12) ^ 2 / 4)) = ((56.61) / (3.14159265 * (1.56 / 12) ^ 2 / 4))</t>
  </si>
  <si>
    <t>((valveFlowVol) / (3.14159265 * (valveDia / 12) ^ 2 / 4)) = ((56.61) / (3.14159265 * (1.95 / 12) ^ 2 / 4))</t>
  </si>
  <si>
    <t>((valveFlowVol) / (3.14159265 * (valveDia / 12) ^ 2 / 4)) = ((56.61) / (3.14159265 * (2.59 / 12) ^ 2 / 4))</t>
  </si>
  <si>
    <t>((valveFlowVol) / (3.14159265 * (valveDia / 12) ^ 2 / 4)) = ((56.61) / (3.14159265 * (3.03 / 12) ^ 2 / 4))</t>
  </si>
  <si>
    <t>((valveFlowVol) / (3.14159265 * (valveDia / 12) ^ 2 / 4)) = ((56.61) / (3.14159265 * (4.45 / 12) ^ 2 / 4))</t>
  </si>
  <si>
    <t>((valveFlowVol) / (3.14159265 * (valveDia / 12) ^ 2 / 4)) = ((56.61) / (3.14159265 * (5.64 / 12) ^ 2 / 4))</t>
  </si>
  <si>
    <t>((valveFlowVol) / (3.14159265 * (valveDia / 12) ^ 2 / 4)) = ((56.61) / (3.14159265 * (7.54 / 12) ^ 2 / 4))</t>
  </si>
  <si>
    <t>((valveFlowVol) / (3.14159265 * (valveDia / 12) ^ 2 / 4)) = ((56.61) / (3.14159265 * (9.07 / 12) ^ 2 / 4))</t>
  </si>
  <si>
    <t>((valveFlowVol) / (3.14159265 * (valveDia / 12) ^ 2 / 4)) = ((56.61) / (3.14159265 * (0.56 / 12) ^ 2 / 4))</t>
  </si>
  <si>
    <t>((valveFlowVol) / (3.14159265 * (valveDia / 12) ^ 2 / 4)) = ((56.61) / (3.14159265 * (0.75 / 12) ^ 2 / 4))</t>
  </si>
  <si>
    <t>((valveFlowVol) / (3.14159265 * (valveDia / 12) ^ 2 / 4)) = ((56.61) / (3.14159265 * (2.25 / 12) ^ 2 / 4))</t>
  </si>
  <si>
    <t>((valveFlowVol) / (3.14159265 * (valveDia / 12) ^ 2 / 4)) = ((56.61) / (3.14159265 * (3.00 / 12) ^ 2 / 4))</t>
  </si>
  <si>
    <t>((valveFlowVol) / (3.14159265 * (valveDia / 12) ^ 2 / 4)) = ((56.61) / (3.14159265 * (4.50 / 12) ^ 2 / 4))</t>
  </si>
  <si>
    <t>Generated on August 13, 2025, 10:47 AM</t>
  </si>
  <si>
    <t>Cv = Q / (3.28 * P1_abs * SQRT[((P1-P2)/P1)*(P2/P1)])</t>
  </si>
  <si>
    <t>Cv = 1302.08333333333 / (3.28 * 34.7 * SQRT(((34.7 - 24.7)/34.7) * (24.7/34.7)))</t>
  </si>
  <si>
    <t>Actual PD [h] of 10.0 &lt; Critical PD of 14.6</t>
  </si>
  <si>
    <t>Standard Calculation</t>
  </si>
  <si>
    <t>Selected valve Cv = 28 (closest match).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</si>
</sst>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0000"/>
    <numFmt numFmtId="165" formatCode="0.0"/>
    <numFmt numFmtId="166" formatCode="0.000"/>
    <numFmt numFmtId="167" formatCode="0.000??"/>
    <numFmt numFmtId="168" formatCode="0.0000"/>
    <numFmt numFmtId="169" formatCode="0.000?"/>
    <numFmt numFmtId="170" formatCode="0.00??"/>
    <numFmt numFmtId="171" formatCode="0.0??"/>
    <numFmt numFmtId="172" formatCode="0.000000"/>
    <numFmt numFmtId="173" formatCode="0.0?"/>
    <numFmt numFmtId="174" formatCode="0.00000000"/>
    <numFmt numFmtId="175" formatCode="0.00000?"/>
    <numFmt numFmtId="176" formatCode="0.0000?"/>
    <numFmt numFmtId="177" formatCode="0_x"/>
    <numFmt numFmtId="178" formatCode="0_x_x_x"/>
    <numFmt numFmtId="179" formatCode="0_x_x"/>
    <numFmt numFmtId="180" formatCode="0.0_x_x"/>
    <numFmt numFmtId="181" formatCode="0.00_x"/>
  </numFmts>
  <fonts count="68" x14ac:knownFonts="1">
    <font>
      <sz val="10"/>
      <name val="Arial"/>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b/>
      <sz val="10"/>
      <name val="Arial"/>
      <family val="2"/>
    </font>
    <font>
      <sz val="10"/>
      <name val="Arial"/>
      <family val="2"/>
    </font>
    <font>
      <b/>
      <sz val="10"/>
      <name val="Arial"/>
      <family val="2"/>
    </font>
    <font>
      <b/>
      <vertAlign val="superscript"/>
      <sz val="10"/>
      <name val="Arial"/>
      <family val="2"/>
    </font>
    <font>
      <sz val="9"/>
      <name val="Arial"/>
      <family val="2"/>
    </font>
    <font>
      <i/>
      <sz val="10"/>
      <name val="Arial"/>
      <family val="2"/>
    </font>
    <font>
      <b/>
      <sz val="12"/>
      <name val="Arial"/>
      <family val="2"/>
    </font>
    <font>
      <i/>
      <sz val="9"/>
      <name val="Arial"/>
      <family val="2"/>
    </font>
    <font>
      <u/>
      <sz val="10"/>
      <color indexed="12"/>
      <name val="Arial"/>
      <family val="2"/>
    </font>
    <font>
      <sz val="8"/>
      <name val="Arial"/>
      <family val="2"/>
    </font>
    <font>
      <b/>
      <sz val="11"/>
      <color theme="1"/>
      <name val="Aptos Narrow"/>
      <family val="2"/>
      <scheme val="minor"/>
    </font>
    <font>
      <sz val="11"/>
      <color rgb="FF000000"/>
      <name val="Calibri"/>
      <family val="2"/>
      <charset val="204"/>
    </font>
    <font>
      <b/>
      <sz val="10"/>
      <color rgb="FF0000FF"/>
      <name val="Arial"/>
      <family val="2"/>
    </font>
    <font>
      <b/>
      <sz val="11"/>
      <color rgb="FF0000FF"/>
      <name val="Aptos Narrow"/>
      <family val="2"/>
      <scheme val="minor"/>
    </font>
    <font>
      <b/>
      <i/>
      <sz val="10"/>
      <name val="Arial"/>
      <family val="2"/>
    </font>
    <font>
      <sz val="11"/>
      <color rgb="FF0000FF"/>
      <name val="Aptos Narrow"/>
      <family val="2"/>
      <scheme val="minor"/>
    </font>
    <font>
      <sz val="11"/>
      <color rgb="FFFF6600"/>
      <name val="Aptos Narrow"/>
      <family val="2"/>
      <scheme val="minor"/>
    </font>
    <font>
      <b/>
      <sz val="11"/>
      <color theme="0"/>
      <name val="Aptos Narrow"/>
      <family val="2"/>
      <scheme val="minor"/>
    </font>
    <font>
      <sz val="11"/>
      <color theme="0"/>
      <name val="Aptos Narrow"/>
      <family val="2"/>
      <scheme val="minor"/>
    </font>
    <font>
      <b/>
      <u/>
      <sz val="10"/>
      <name val="Arial"/>
      <family val="2"/>
    </font>
    <font>
      <b/>
      <i/>
      <sz val="11"/>
      <color rgb="FFFF0000"/>
      <name val="Aptos Narrow"/>
      <family val="2"/>
      <scheme val="minor"/>
    </font>
    <font>
      <b/>
      <sz val="10"/>
      <color theme="0"/>
      <name val="Arial"/>
      <family val="2"/>
    </font>
    <font>
      <sz val="11"/>
      <color rgb="FF00FF00"/>
      <name val="Aptos Narrow"/>
      <family val="2"/>
      <scheme val="minor"/>
    </font>
    <font>
      <sz val="11"/>
      <color rgb="FFFF0000"/>
      <name val="Aptos Narrow"/>
      <family val="2"/>
      <scheme val="minor"/>
    </font>
    <font>
      <sz val="11"/>
      <color theme="1"/>
      <name val="Arial"/>
      <family val="2"/>
    </font>
    <font>
      <sz val="11"/>
      <color rgb="FF00FF00"/>
      <name val="Arial"/>
      <family val="2"/>
    </font>
    <font>
      <u/>
      <sz val="10"/>
      <color indexed="12"/>
      <name val="Arial"/>
      <family val="2"/>
    </font>
    <font>
      <sz val="10"/>
      <color theme="1"/>
      <name val="Arial"/>
      <family val="2"/>
    </font>
    <font>
      <b/>
      <sz val="10"/>
      <color theme="1"/>
      <name val="Arial"/>
      <family val="2"/>
    </font>
    <font>
      <sz val="11"/>
      <color indexed="8"/>
      <name val="Calibri"/>
      <family val="2"/>
    </font>
    <font>
      <sz val="9"/>
      <color indexed="8"/>
      <name val="Arial"/>
      <family val="2"/>
    </font>
    <font>
      <b/>
      <sz val="11"/>
      <color indexed="8"/>
      <name val="Calibri"/>
      <family val="2"/>
    </font>
    <font>
      <sz val="11"/>
      <color rgb="FF228B22"/>
      <name val="Aptos Narrow"/>
      <family val="2"/>
      <scheme val="minor"/>
    </font>
    <font>
      <sz val="11"/>
      <name val="Arial"/>
      <family val="2"/>
    </font>
    <font>
      <b/>
      <sz val="9"/>
      <color indexed="8"/>
      <name val="Arial"/>
      <family val="2"/>
    </font>
    <font>
      <b/>
      <sz val="9"/>
      <color rgb="FF000000"/>
      <name val="Arial"/>
      <family val="2"/>
    </font>
    <font>
      <b/>
      <vertAlign val="subscript"/>
      <sz val="9"/>
      <color rgb="FF000000"/>
      <name val="Arial"/>
      <family val="2"/>
    </font>
    <font>
      <sz val="9"/>
      <color rgb="FF000000"/>
      <name val="Arial"/>
      <family val="2"/>
    </font>
    <font>
      <b/>
      <sz val="24"/>
      <name val="Arial"/>
      <family val="2"/>
    </font>
    <font>
      <b/>
      <sz val="18"/>
      <name val="Arial"/>
      <family val="2"/>
    </font>
    <font>
      <sz val="10"/>
      <color rgb="FF000000"/>
      <name val="Arial"/>
      <family val="2"/>
    </font>
    <font>
      <u/>
      <sz val="10"/>
      <name val="Arial"/>
      <family val="2"/>
    </font>
    <font>
      <sz val="11"/>
      <name val="Aptos Narrow"/>
      <family val="2"/>
      <scheme val="minor"/>
    </font>
    <font>
      <sz val="11"/>
      <color theme="1"/>
      <name val="Aptos Narrow"/>
      <family val="2"/>
    </font>
    <font>
      <sz val="11"/>
      <color indexed="8"/>
      <name val="Aptos Narrow"/>
      <family val="2"/>
    </font>
    <font>
      <sz val="11"/>
      <name val="Aptos Narrow"/>
      <family val="2"/>
    </font>
    <font>
      <sz val="11"/>
      <color rgb="FF228B22"/>
      <name val="Arial"/>
      <family val="2"/>
    </font>
    <font>
      <b/>
      <sz val="10"/>
      <color rgb="FF228B22"/>
      <name val="Arial"/>
      <family val="2"/>
    </font>
    <font>
      <sz val="10"/>
      <color theme="0"/>
      <name val="Arial"/>
      <family val="2"/>
    </font>
  </fonts>
  <fills count="20">
    <fill>
      <patternFill patternType="none"/>
    </fill>
    <fill>
      <patternFill patternType="gray125"/>
    </fill>
    <fill>
      <patternFill patternType="solid">
        <fgColor indexed="22"/>
        <bgColor indexed="22"/>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3" tint="0.89999084444715716"/>
        <bgColor indexed="64"/>
      </patternFill>
    </fill>
    <fill>
      <patternFill patternType="solid">
        <fgColor theme="0" tint="-4.9989318521683403E-2"/>
        <bgColor indexed="64"/>
      </patternFill>
    </fill>
    <fill>
      <patternFill patternType="solid">
        <fgColor theme="0"/>
        <bgColor indexed="64"/>
      </patternFill>
    </fill>
    <fill>
      <patternFill patternType="solid">
        <fgColor rgb="FFFF6600"/>
        <bgColor indexed="64"/>
      </patternFill>
    </fill>
    <fill>
      <patternFill patternType="solid">
        <fgColor theme="2"/>
        <bgColor indexed="64"/>
      </patternFill>
    </fill>
    <fill>
      <patternFill patternType="solid">
        <fgColor theme="9" tint="0.79998168889431442"/>
        <bgColor indexed="64"/>
      </patternFill>
    </fill>
    <fill>
      <patternFill patternType="solid">
        <fgColor rgb="FFFFFF00"/>
        <bgColor indexed="64"/>
      </patternFill>
    </fill>
    <fill>
      <patternFill patternType="solid">
        <fgColor indexed="44"/>
        <bgColor indexed="64"/>
      </patternFill>
    </fill>
    <fill>
      <patternFill patternType="solid">
        <fgColor indexed="29"/>
        <bgColor indexed="64"/>
      </patternFill>
    </fill>
    <fill>
      <patternFill patternType="solid">
        <fgColor rgb="FFFFFFFF"/>
        <bgColor indexed="64"/>
      </patternFill>
    </fill>
    <fill>
      <patternFill patternType="solid">
        <fgColor rgb="FFCEE3E6"/>
        <bgColor indexed="64"/>
      </patternFill>
    </fill>
    <fill>
      <patternFill patternType="solid">
        <fgColor rgb="FFDCDCDC"/>
        <bgColor indexed="64"/>
      </patternFill>
    </fill>
    <fill>
      <patternFill patternType="solid">
        <fgColor rgb="FFFFB6C1"/>
        <bgColor indexed="64"/>
      </patternFill>
    </fill>
    <fill>
      <patternFill patternType="solid">
        <fgColor rgb="FF90EE90"/>
        <bgColor indexed="64"/>
      </patternFill>
    </fill>
  </fills>
  <borders count="60">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
      <left style="thin">
        <color indexed="64"/>
      </left>
      <right style="thin">
        <color indexed="64"/>
      </right>
      <top/>
      <bottom/>
      <diagonal/>
    </border>
    <border>
      <left style="medium">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bottom style="medium">
        <color indexed="64"/>
      </bottom>
      <diagonal/>
    </border>
    <border>
      <left/>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thick">
        <color indexed="22"/>
      </left>
      <right/>
      <top style="thick">
        <color indexed="22"/>
      </top>
      <bottom style="medium">
        <color indexed="22"/>
      </bottom>
      <diagonal/>
    </border>
    <border>
      <left/>
      <right style="medium">
        <color indexed="22"/>
      </right>
      <top style="thick">
        <color indexed="22"/>
      </top>
      <bottom style="medium">
        <color indexed="22"/>
      </bottom>
      <diagonal/>
    </border>
    <border>
      <left style="medium">
        <color indexed="22"/>
      </left>
      <right/>
      <top style="thick">
        <color indexed="22"/>
      </top>
      <bottom style="medium">
        <color indexed="22"/>
      </bottom>
      <diagonal/>
    </border>
    <border>
      <left/>
      <right/>
      <top style="thick">
        <color indexed="22"/>
      </top>
      <bottom style="medium">
        <color indexed="22"/>
      </bottom>
      <diagonal/>
    </border>
    <border>
      <left/>
      <right style="thick">
        <color indexed="22"/>
      </right>
      <top style="thick">
        <color indexed="22"/>
      </top>
      <bottom style="medium">
        <color indexed="22"/>
      </bottom>
      <diagonal/>
    </border>
    <border>
      <left style="thick">
        <color indexed="22"/>
      </left>
      <right style="medium">
        <color indexed="22"/>
      </right>
      <top style="medium">
        <color indexed="22"/>
      </top>
      <bottom style="medium">
        <color indexed="22"/>
      </bottom>
      <diagonal/>
    </border>
    <border>
      <left style="medium">
        <color indexed="22"/>
      </left>
      <right style="medium">
        <color indexed="22"/>
      </right>
      <top style="medium">
        <color indexed="22"/>
      </top>
      <bottom style="medium">
        <color indexed="22"/>
      </bottom>
      <diagonal/>
    </border>
    <border>
      <left style="medium">
        <color indexed="22"/>
      </left>
      <right style="thick">
        <color indexed="22"/>
      </right>
      <top style="medium">
        <color indexed="22"/>
      </top>
      <bottom style="medium">
        <color indexed="22"/>
      </bottom>
      <diagonal/>
    </border>
    <border>
      <left/>
      <right style="medium">
        <color rgb="FF000000"/>
      </right>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style="medium">
        <color rgb="FF000000"/>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right/>
      <top style="thin">
        <color indexed="64"/>
      </top>
      <bottom style="medium">
        <color indexed="64"/>
      </bottom>
      <diagonal/>
    </border>
  </borders>
  <cellStyleXfs count="8">
    <xf numFmtId="0" fontId="0" fillId="0" borderId="0"/>
    <xf numFmtId="0" fontId="27" fillId="0" borderId="0" applyNumberFormat="0" applyFill="0" applyBorder="0" applyAlignment="0" applyProtection="0">
      <alignment vertical="top"/>
      <protection locked="0"/>
    </xf>
    <xf numFmtId="0" fontId="30" fillId="0" borderId="0"/>
    <xf numFmtId="0" fontId="18" fillId="0" borderId="0"/>
    <xf numFmtId="0" fontId="45" fillId="0" borderId="0" applyNumberFormat="0" applyFill="0" applyBorder="0" applyAlignment="0" applyProtection="0">
      <alignment vertical="top"/>
      <protection locked="0"/>
    </xf>
    <xf numFmtId="0" fontId="48" fillId="0" borderId="0"/>
    <xf numFmtId="0" fontId="20" fillId="0" borderId="0"/>
    <xf numFmtId="0" fontId="5" fillId="0" borderId="0"/>
  </cellStyleXfs>
  <cellXfs count="344">
    <xf numFmtId="0" fontId="0" fillId="0" borderId="0" xfId="0"/>
    <xf numFmtId="0" fontId="0" fillId="0" borderId="0" xfId="0" applyAlignment="1">
      <alignment vertical="center"/>
    </xf>
    <xf numFmtId="0" fontId="0" fillId="0" borderId="0" xfId="0" applyAlignment="1">
      <alignment vertical="center" wrapText="1"/>
    </xf>
    <xf numFmtId="173" fontId="19" fillId="0" borderId="22" xfId="0" applyNumberFormat="1" applyFont="1" applyBorder="1" applyAlignment="1">
      <alignment horizontal="centerContinuous" vertical="center" wrapText="1"/>
    </xf>
    <xf numFmtId="173" fontId="19" fillId="0" borderId="22" xfId="0" applyNumberFormat="1" applyFont="1" applyBorder="1" applyAlignment="1">
      <alignment horizontal="center" vertical="center" wrapText="1"/>
    </xf>
    <xf numFmtId="173" fontId="0" fillId="0" borderId="23" xfId="0" applyNumberFormat="1" applyBorder="1" applyAlignment="1">
      <alignment horizontal="centerContinuous" vertical="center" wrapText="1"/>
    </xf>
    <xf numFmtId="173" fontId="19" fillId="0" borderId="23" xfId="0" applyNumberFormat="1" applyFont="1" applyBorder="1" applyAlignment="1">
      <alignment horizontal="centerContinuous" vertical="center" wrapText="1"/>
    </xf>
    <xf numFmtId="175" fontId="19" fillId="0" borderId="22" xfId="0" applyNumberFormat="1" applyFont="1" applyBorder="1" applyAlignment="1">
      <alignment horizontal="centerContinuous" vertical="center" wrapText="1"/>
    </xf>
    <xf numFmtId="169" fontId="19" fillId="0" borderId="23" xfId="0" applyNumberFormat="1" applyFont="1" applyBorder="1" applyAlignment="1">
      <alignment horizontal="centerContinuous" vertical="center" wrapText="1"/>
    </xf>
    <xf numFmtId="174" fontId="19" fillId="2" borderId="24" xfId="0" applyNumberFormat="1" applyFont="1" applyFill="1" applyBorder="1" applyAlignment="1">
      <alignment horizontal="left" vertical="center" wrapText="1"/>
    </xf>
    <xf numFmtId="176" fontId="19" fillId="0" borderId="25" xfId="0" applyNumberFormat="1" applyFont="1" applyBorder="1" applyAlignment="1">
      <alignment horizontal="centerContinuous" vertical="center" wrapText="1"/>
    </xf>
    <xf numFmtId="173" fontId="28" fillId="0" borderId="8" xfId="0" applyNumberFormat="1" applyFont="1" applyBorder="1" applyAlignment="1">
      <alignment horizontal="center" vertical="center"/>
    </xf>
    <xf numFmtId="173" fontId="28" fillId="0" borderId="26" xfId="0" applyNumberFormat="1" applyFont="1" applyBorder="1" applyAlignment="1">
      <alignment horizontal="center" vertical="center"/>
    </xf>
    <xf numFmtId="173" fontId="28" fillId="0" borderId="27" xfId="0" applyNumberFormat="1" applyFont="1" applyBorder="1" applyAlignment="1">
      <alignment horizontal="center" vertical="center"/>
    </xf>
    <xf numFmtId="175" fontId="28" fillId="0" borderId="26" xfId="0" applyNumberFormat="1" applyFont="1" applyBorder="1" applyAlignment="1">
      <alignment horizontal="center" vertical="center"/>
    </xf>
    <xf numFmtId="169" fontId="28" fillId="0" borderId="27" xfId="0" applyNumberFormat="1" applyFont="1" applyBorder="1" applyAlignment="1">
      <alignment horizontal="center" vertical="center"/>
    </xf>
    <xf numFmtId="174" fontId="28" fillId="2" borderId="10" xfId="0" applyNumberFormat="1" applyFont="1" applyFill="1" applyBorder="1" applyAlignment="1">
      <alignment horizontal="center" vertical="center"/>
    </xf>
    <xf numFmtId="173" fontId="28" fillId="0" borderId="6" xfId="0" applyNumberFormat="1" applyFont="1" applyBorder="1" applyAlignment="1">
      <alignment horizontal="center" vertical="center"/>
    </xf>
    <xf numFmtId="176" fontId="28" fillId="0" borderId="15" xfId="0" applyNumberFormat="1" applyFont="1" applyBorder="1" applyAlignment="1">
      <alignment horizontal="center" vertical="center"/>
    </xf>
    <xf numFmtId="179" fontId="0" fillId="0" borderId="14" xfId="0" applyNumberFormat="1" applyBorder="1" applyAlignment="1">
      <alignment vertical="center"/>
    </xf>
    <xf numFmtId="177" fontId="0" fillId="0" borderId="14" xfId="0" applyNumberFormat="1" applyBorder="1" applyAlignment="1">
      <alignment vertical="center"/>
    </xf>
    <xf numFmtId="177" fontId="0" fillId="0" borderId="12" xfId="0" applyNumberFormat="1" applyBorder="1" applyAlignment="1">
      <alignment vertical="center"/>
    </xf>
    <xf numFmtId="175" fontId="0" fillId="0" borderId="14" xfId="0" applyNumberFormat="1" applyBorder="1" applyAlignment="1">
      <alignment vertical="center"/>
    </xf>
    <xf numFmtId="169" fontId="0" fillId="0" borderId="12" xfId="0" applyNumberFormat="1" applyBorder="1" applyAlignment="1">
      <alignment vertical="center"/>
    </xf>
    <xf numFmtId="171" fontId="0" fillId="2" borderId="10" xfId="0" applyNumberFormat="1" applyFill="1" applyBorder="1" applyAlignment="1">
      <alignment horizontal="right" vertical="center"/>
    </xf>
    <xf numFmtId="178" fontId="0" fillId="0" borderId="13" xfId="0" applyNumberFormat="1" applyBorder="1" applyAlignment="1">
      <alignment horizontal="right" vertical="center"/>
    </xf>
    <xf numFmtId="179" fontId="0" fillId="0" borderId="14" xfId="0" applyNumberFormat="1" applyBorder="1" applyAlignment="1">
      <alignment horizontal="right" vertical="center"/>
    </xf>
    <xf numFmtId="177" fontId="0" fillId="0" borderId="14" xfId="0" applyNumberFormat="1" applyBorder="1" applyAlignment="1">
      <alignment horizontal="right" vertical="center"/>
    </xf>
    <xf numFmtId="177" fontId="0" fillId="0" borderId="12" xfId="0" applyNumberFormat="1" applyBorder="1" applyAlignment="1">
      <alignment horizontal="right" vertical="center"/>
    </xf>
    <xf numFmtId="167" fontId="0" fillId="0" borderId="28" xfId="0" applyNumberFormat="1" applyBorder="1" applyAlignment="1">
      <alignment horizontal="right" vertical="center"/>
    </xf>
    <xf numFmtId="178" fontId="0" fillId="0" borderId="14" xfId="0" applyNumberFormat="1" applyBorder="1" applyAlignment="1">
      <alignment horizontal="right" vertical="center"/>
    </xf>
    <xf numFmtId="170" fontId="0" fillId="0" borderId="12" xfId="0" applyNumberFormat="1" applyBorder="1" applyAlignment="1">
      <alignment horizontal="right" vertical="center"/>
    </xf>
    <xf numFmtId="178" fontId="0" fillId="0" borderId="8" xfId="0" applyNumberFormat="1" applyBorder="1" applyAlignment="1">
      <alignment horizontal="right" vertical="center"/>
    </xf>
    <xf numFmtId="179" fontId="0" fillId="0" borderId="8" xfId="0" applyNumberFormat="1" applyBorder="1" applyAlignment="1">
      <alignment horizontal="right" vertical="center"/>
    </xf>
    <xf numFmtId="177" fontId="0" fillId="0" borderId="8" xfId="0" applyNumberFormat="1" applyBorder="1" applyAlignment="1">
      <alignment horizontal="right" vertical="center"/>
    </xf>
    <xf numFmtId="177" fontId="0" fillId="0" borderId="5" xfId="0" applyNumberFormat="1" applyBorder="1" applyAlignment="1">
      <alignment horizontal="right" vertical="center"/>
    </xf>
    <xf numFmtId="175" fontId="0" fillId="0" borderId="8" xfId="0" applyNumberFormat="1" applyBorder="1" applyAlignment="1">
      <alignment vertical="center"/>
    </xf>
    <xf numFmtId="170" fontId="0" fillId="0" borderId="5" xfId="0" applyNumberFormat="1" applyBorder="1" applyAlignment="1">
      <alignment horizontal="right" vertical="center"/>
    </xf>
    <xf numFmtId="178" fontId="0" fillId="0" borderId="6" xfId="0" applyNumberFormat="1" applyBorder="1" applyAlignment="1">
      <alignment horizontal="right" vertical="center"/>
    </xf>
    <xf numFmtId="167" fontId="0" fillId="0" borderId="29" xfId="0" applyNumberFormat="1" applyBorder="1" applyAlignment="1">
      <alignment horizontal="right" vertical="center"/>
    </xf>
    <xf numFmtId="169" fontId="0" fillId="0" borderId="5" xfId="0" applyNumberFormat="1" applyBorder="1" applyAlignment="1">
      <alignment horizontal="right" vertical="center"/>
    </xf>
    <xf numFmtId="169" fontId="0" fillId="0" borderId="12" xfId="0" applyNumberFormat="1" applyBorder="1" applyAlignment="1">
      <alignment horizontal="right" vertical="center"/>
    </xf>
    <xf numFmtId="176" fontId="0" fillId="0" borderId="29" xfId="0" applyNumberFormat="1" applyBorder="1" applyAlignment="1">
      <alignment horizontal="right" vertical="center"/>
    </xf>
    <xf numFmtId="176" fontId="0" fillId="0" borderId="28" xfId="0" applyNumberFormat="1" applyBorder="1" applyAlignment="1">
      <alignment horizontal="right" vertical="center"/>
    </xf>
    <xf numFmtId="171" fontId="0" fillId="2" borderId="7" xfId="0" applyNumberFormat="1" applyFill="1" applyBorder="1" applyAlignment="1">
      <alignment horizontal="right" vertical="center"/>
    </xf>
    <xf numFmtId="175" fontId="0" fillId="0" borderId="0" xfId="0" applyNumberFormat="1" applyAlignment="1">
      <alignment vertical="center"/>
    </xf>
    <xf numFmtId="169" fontId="0" fillId="0" borderId="0" xfId="0" applyNumberFormat="1" applyAlignment="1">
      <alignment vertical="center"/>
    </xf>
    <xf numFmtId="171" fontId="0" fillId="0" borderId="0" xfId="0" applyNumberFormat="1" applyAlignment="1">
      <alignment horizontal="right" vertical="center"/>
    </xf>
    <xf numFmtId="175" fontId="0" fillId="0" borderId="0" xfId="0" applyNumberFormat="1" applyAlignment="1">
      <alignment horizontal="right" vertical="center"/>
    </xf>
    <xf numFmtId="176" fontId="0" fillId="0" borderId="0" xfId="0" applyNumberFormat="1" applyAlignment="1">
      <alignment horizontal="right" vertical="center"/>
    </xf>
    <xf numFmtId="173" fontId="0" fillId="0" borderId="0" xfId="0" applyNumberFormat="1" applyAlignment="1">
      <alignment vertical="center"/>
    </xf>
    <xf numFmtId="176" fontId="0" fillId="0" borderId="0" xfId="0" applyNumberFormat="1" applyAlignment="1">
      <alignment vertical="center"/>
    </xf>
    <xf numFmtId="0" fontId="28" fillId="0" borderId="14" xfId="0" applyFont="1" applyBorder="1" applyAlignment="1">
      <alignment horizontal="center" vertical="center"/>
    </xf>
    <xf numFmtId="0" fontId="26" fillId="0" borderId="0" xfId="0" applyFont="1" applyAlignment="1">
      <alignment vertical="center"/>
    </xf>
    <xf numFmtId="0" fontId="24" fillId="0" borderId="0" xfId="0" applyFont="1" applyAlignment="1">
      <alignment horizontal="left" vertical="center" indent="1"/>
    </xf>
    <xf numFmtId="0" fontId="26" fillId="0" borderId="0" xfId="0" applyFont="1" applyAlignment="1">
      <alignment horizontal="left" vertical="center"/>
    </xf>
    <xf numFmtId="0" fontId="20" fillId="0" borderId="0" xfId="0" applyFont="1" applyAlignment="1">
      <alignment vertical="center"/>
    </xf>
    <xf numFmtId="0" fontId="20" fillId="0" borderId="0" xfId="0" applyFont="1" applyAlignment="1">
      <alignment horizontal="left" vertical="center" indent="1"/>
    </xf>
    <xf numFmtId="166" fontId="20" fillId="0" borderId="0" xfId="0" applyNumberFormat="1" applyFont="1" applyAlignment="1">
      <alignment horizontal="left" vertical="center" indent="1"/>
    </xf>
    <xf numFmtId="0" fontId="0" fillId="0" borderId="0" xfId="0" applyAlignment="1">
      <alignment horizontal="right" vertical="center"/>
    </xf>
    <xf numFmtId="166" fontId="0" fillId="0" borderId="0" xfId="0" applyNumberFormat="1" applyAlignment="1">
      <alignment horizontal="right" vertical="center"/>
    </xf>
    <xf numFmtId="0" fontId="26" fillId="0" borderId="0" xfId="0" applyFont="1" applyAlignment="1">
      <alignment horizontal="right" vertical="center"/>
    </xf>
    <xf numFmtId="1" fontId="0" fillId="0" borderId="0" xfId="0" applyNumberFormat="1" applyAlignment="1">
      <alignment horizontal="right" vertical="center"/>
    </xf>
    <xf numFmtId="0" fontId="0" fillId="0" borderId="0" xfId="0" applyAlignment="1">
      <alignment horizontal="left" vertical="center" indent="1"/>
    </xf>
    <xf numFmtId="166" fontId="20" fillId="0" borderId="0" xfId="0" applyNumberFormat="1" applyFont="1" applyAlignment="1">
      <alignment horizontal="right" vertical="center"/>
    </xf>
    <xf numFmtId="165" fontId="0" fillId="0" borderId="0" xfId="0" applyNumberFormat="1" applyAlignment="1">
      <alignment horizontal="right" vertical="center"/>
    </xf>
    <xf numFmtId="168" fontId="0" fillId="0" borderId="0" xfId="0" applyNumberFormat="1" applyAlignment="1">
      <alignment horizontal="right" vertical="center"/>
    </xf>
    <xf numFmtId="0" fontId="0" fillId="0" borderId="0" xfId="0" applyAlignment="1">
      <alignment horizontal="center" vertical="center"/>
    </xf>
    <xf numFmtId="0" fontId="21" fillId="0" borderId="0" xfId="0" applyFont="1" applyAlignment="1">
      <alignment horizontal="center" vertical="center" wrapText="1"/>
    </xf>
    <xf numFmtId="172" fontId="0" fillId="0" borderId="14" xfId="0" applyNumberFormat="1" applyBorder="1" applyAlignment="1">
      <alignment vertical="center"/>
    </xf>
    <xf numFmtId="172" fontId="0" fillId="0" borderId="8" xfId="0" applyNumberFormat="1" applyBorder="1" applyAlignment="1">
      <alignment vertical="center"/>
    </xf>
    <xf numFmtId="168" fontId="0" fillId="0" borderId="12" xfId="0" applyNumberFormat="1" applyBorder="1" applyAlignment="1">
      <alignment horizontal="right" vertical="center"/>
    </xf>
    <xf numFmtId="168" fontId="0" fillId="0" borderId="5" xfId="0" applyNumberFormat="1" applyBorder="1" applyAlignment="1">
      <alignment horizontal="right" vertical="center"/>
    </xf>
    <xf numFmtId="168" fontId="0" fillId="0" borderId="12" xfId="0" applyNumberFormat="1" applyBorder="1" applyAlignment="1">
      <alignment vertical="center"/>
    </xf>
    <xf numFmtId="164" fontId="0" fillId="0" borderId="28" xfId="0" applyNumberFormat="1" applyBorder="1" applyAlignment="1">
      <alignment horizontal="right" vertical="center"/>
    </xf>
    <xf numFmtId="164" fontId="0" fillId="0" borderId="29" xfId="0" applyNumberFormat="1" applyBorder="1" applyAlignment="1">
      <alignment horizontal="right" vertical="center"/>
    </xf>
    <xf numFmtId="180" fontId="0" fillId="0" borderId="13" xfId="0" applyNumberFormat="1" applyBorder="1" applyAlignment="1">
      <alignment horizontal="right" vertical="center"/>
    </xf>
    <xf numFmtId="181" fontId="0" fillId="0" borderId="3" xfId="0" applyNumberFormat="1" applyBorder="1" applyAlignment="1">
      <alignment horizontal="right" vertical="center"/>
    </xf>
    <xf numFmtId="180" fontId="0" fillId="0" borderId="27" xfId="0" applyNumberFormat="1" applyBorder="1" applyAlignment="1">
      <alignment horizontal="right" vertical="center"/>
    </xf>
    <xf numFmtId="180" fontId="0" fillId="0" borderId="12" xfId="0" applyNumberFormat="1" applyBorder="1" applyAlignment="1">
      <alignment horizontal="right" vertical="center"/>
    </xf>
    <xf numFmtId="180" fontId="0" fillId="0" borderId="1" xfId="0" applyNumberFormat="1" applyBorder="1" applyAlignment="1">
      <alignment horizontal="right" vertical="center"/>
    </xf>
    <xf numFmtId="181" fontId="0" fillId="0" borderId="26" xfId="0" applyNumberFormat="1" applyBorder="1" applyAlignment="1">
      <alignment horizontal="right" vertical="center"/>
    </xf>
    <xf numFmtId="181" fontId="0" fillId="0" borderId="14" xfId="0" applyNumberFormat="1" applyBorder="1" applyAlignment="1">
      <alignment horizontal="right" vertical="center"/>
    </xf>
    <xf numFmtId="181" fontId="0" fillId="0" borderId="8" xfId="0" applyNumberFormat="1" applyBorder="1" applyAlignment="1">
      <alignment horizontal="right" vertical="center"/>
    </xf>
    <xf numFmtId="180" fontId="0" fillId="0" borderId="6" xfId="0" applyNumberFormat="1" applyBorder="1" applyAlignment="1">
      <alignment horizontal="right" vertical="center"/>
    </xf>
    <xf numFmtId="0" fontId="18" fillId="0" borderId="0" xfId="3"/>
    <xf numFmtId="0" fontId="32" fillId="0" borderId="0" xfId="3" applyFont="1" applyAlignment="1">
      <alignment horizontal="center"/>
    </xf>
    <xf numFmtId="0" fontId="18" fillId="0" borderId="0" xfId="3" applyAlignment="1">
      <alignment horizontal="right"/>
    </xf>
    <xf numFmtId="0" fontId="18" fillId="0" borderId="0" xfId="3" applyAlignment="1">
      <alignment horizontal="center"/>
    </xf>
    <xf numFmtId="0" fontId="29" fillId="0" borderId="0" xfId="3" applyFont="1" applyAlignment="1">
      <alignment horizontal="center"/>
    </xf>
    <xf numFmtId="0" fontId="33" fillId="6" borderId="11" xfId="3" applyFont="1" applyFill="1" applyBorder="1" applyAlignment="1">
      <alignment horizontal="right"/>
    </xf>
    <xf numFmtId="0" fontId="18" fillId="6" borderId="19" xfId="3" applyFill="1" applyBorder="1"/>
    <xf numFmtId="0" fontId="31" fillId="7" borderId="6" xfId="3" applyFont="1" applyFill="1" applyBorder="1" applyAlignment="1">
      <alignment horizontal="center"/>
    </xf>
    <xf numFmtId="0" fontId="21" fillId="7" borderId="11" xfId="3" applyFont="1" applyFill="1" applyBorder="1" applyAlignment="1">
      <alignment horizontal="right"/>
    </xf>
    <xf numFmtId="0" fontId="18" fillId="7" borderId="19" xfId="3" applyFill="1" applyBorder="1"/>
    <xf numFmtId="0" fontId="20" fillId="7" borderId="11" xfId="3" applyFont="1" applyFill="1" applyBorder="1" applyAlignment="1">
      <alignment horizontal="right"/>
    </xf>
    <xf numFmtId="0" fontId="33" fillId="7" borderId="11" xfId="3" applyFont="1" applyFill="1" applyBorder="1" applyAlignment="1">
      <alignment horizontal="right"/>
    </xf>
    <xf numFmtId="2" fontId="21" fillId="7" borderId="0" xfId="3" applyNumberFormat="1" applyFont="1" applyFill="1" applyAlignment="1">
      <alignment horizontal="center"/>
    </xf>
    <xf numFmtId="0" fontId="29" fillId="7" borderId="19" xfId="3" applyFont="1" applyFill="1" applyBorder="1" applyAlignment="1">
      <alignment horizontal="center"/>
    </xf>
    <xf numFmtId="0" fontId="20" fillId="0" borderId="0" xfId="0" applyFont="1"/>
    <xf numFmtId="0" fontId="20" fillId="0" borderId="0" xfId="0" applyFont="1" applyAlignment="1">
      <alignment vertical="center" wrapText="1"/>
    </xf>
    <xf numFmtId="2" fontId="21" fillId="0" borderId="0" xfId="0" applyNumberFormat="1" applyFont="1" applyAlignment="1">
      <alignment horizontal="center" vertical="center" wrapText="1"/>
    </xf>
    <xf numFmtId="2" fontId="20" fillId="0" borderId="0" xfId="0" applyNumberFormat="1" applyFont="1" applyAlignment="1">
      <alignment vertical="center" wrapText="1"/>
    </xf>
    <xf numFmtId="2" fontId="0" fillId="0" borderId="0" xfId="0" applyNumberFormat="1"/>
    <xf numFmtId="2" fontId="21" fillId="0" borderId="0" xfId="0" applyNumberFormat="1" applyFont="1" applyAlignment="1">
      <alignment horizontal="right" vertical="center" wrapText="1"/>
    </xf>
    <xf numFmtId="0" fontId="21" fillId="0" borderId="0" xfId="0" applyFont="1" applyAlignment="1">
      <alignment horizontal="left" vertical="center" wrapText="1"/>
    </xf>
    <xf numFmtId="0" fontId="21" fillId="0" borderId="0" xfId="0" applyFont="1"/>
    <xf numFmtId="0" fontId="34" fillId="7" borderId="19" xfId="3" applyFont="1" applyFill="1" applyBorder="1"/>
    <xf numFmtId="0" fontId="18" fillId="7" borderId="34" xfId="3" applyFill="1" applyBorder="1"/>
    <xf numFmtId="0" fontId="20" fillId="6" borderId="11" xfId="3" applyFont="1" applyFill="1" applyBorder="1" applyAlignment="1">
      <alignment horizontal="right"/>
    </xf>
    <xf numFmtId="2" fontId="18" fillId="6" borderId="19" xfId="3" applyNumberFormat="1" applyFill="1" applyBorder="1" applyAlignment="1">
      <alignment horizontal="center"/>
    </xf>
    <xf numFmtId="0" fontId="18" fillId="7" borderId="9" xfId="3" applyFill="1" applyBorder="1"/>
    <xf numFmtId="0" fontId="31" fillId="7" borderId="25" xfId="3" applyFont="1" applyFill="1" applyBorder="1" applyAlignment="1">
      <alignment horizontal="center"/>
    </xf>
    <xf numFmtId="0" fontId="21" fillId="7" borderId="11" xfId="3" applyFont="1" applyFill="1" applyBorder="1" applyAlignment="1">
      <alignment horizontal="center"/>
    </xf>
    <xf numFmtId="0" fontId="31" fillId="7" borderId="8" xfId="3" applyFont="1" applyFill="1" applyBorder="1" applyAlignment="1">
      <alignment horizontal="center"/>
    </xf>
    <xf numFmtId="0" fontId="31" fillId="7" borderId="34" xfId="3" applyFont="1" applyFill="1" applyBorder="1" applyAlignment="1">
      <alignment horizontal="center"/>
    </xf>
    <xf numFmtId="0" fontId="29" fillId="7" borderId="11" xfId="3" applyFont="1" applyFill="1" applyBorder="1" applyAlignment="1">
      <alignment horizontal="center" vertical="center"/>
    </xf>
    <xf numFmtId="0" fontId="18" fillId="7" borderId="0" xfId="3" applyFill="1" applyAlignment="1">
      <alignment horizontal="center" vertical="center"/>
    </xf>
    <xf numFmtId="0" fontId="18" fillId="7" borderId="19" xfId="3" applyFill="1" applyBorder="1" applyAlignment="1">
      <alignment horizontal="center" vertical="center"/>
    </xf>
    <xf numFmtId="0" fontId="34" fillId="7" borderId="0" xfId="3" applyFont="1" applyFill="1"/>
    <xf numFmtId="0" fontId="21" fillId="7" borderId="0" xfId="3" applyFont="1" applyFill="1" applyAlignment="1">
      <alignment horizontal="center"/>
    </xf>
    <xf numFmtId="0" fontId="21" fillId="7" borderId="19" xfId="3" applyFont="1" applyFill="1" applyBorder="1" applyAlignment="1">
      <alignment horizontal="center"/>
    </xf>
    <xf numFmtId="2" fontId="21" fillId="7" borderId="19" xfId="3" applyNumberFormat="1" applyFont="1" applyFill="1" applyBorder="1" applyAlignment="1">
      <alignment horizontal="center"/>
    </xf>
    <xf numFmtId="0" fontId="33" fillId="4" borderId="8" xfId="3" applyFont="1" applyFill="1" applyBorder="1" applyAlignment="1">
      <alignment horizontal="right"/>
    </xf>
    <xf numFmtId="0" fontId="29" fillId="4" borderId="34" xfId="3" applyFont="1" applyFill="1" applyBorder="1" applyAlignment="1">
      <alignment horizontal="center"/>
    </xf>
    <xf numFmtId="0" fontId="25" fillId="7" borderId="8" xfId="3" applyFont="1" applyFill="1" applyBorder="1" applyAlignment="1">
      <alignment horizontal="center"/>
    </xf>
    <xf numFmtId="2" fontId="18" fillId="6" borderId="18" xfId="3" applyNumberFormat="1" applyFill="1" applyBorder="1" applyAlignment="1">
      <alignment horizontal="center" vertical="center"/>
    </xf>
    <xf numFmtId="0" fontId="19" fillId="0" borderId="0" xfId="0" applyFont="1" applyAlignment="1">
      <alignment horizontal="left" vertical="center" indent="1"/>
    </xf>
    <xf numFmtId="0" fontId="17" fillId="0" borderId="0" xfId="3" applyFont="1"/>
    <xf numFmtId="0" fontId="16" fillId="0" borderId="0" xfId="3" applyFont="1" applyAlignment="1">
      <alignment horizontal="center"/>
    </xf>
    <xf numFmtId="0" fontId="15" fillId="0" borderId="0" xfId="3" quotePrefix="1" applyFont="1"/>
    <xf numFmtId="0" fontId="15" fillId="0" borderId="0" xfId="3" quotePrefix="1" applyFont="1" applyAlignment="1">
      <alignment horizontal="center"/>
    </xf>
    <xf numFmtId="0" fontId="31" fillId="7" borderId="0" xfId="3" applyFont="1" applyFill="1" applyAlignment="1">
      <alignment horizontal="center"/>
    </xf>
    <xf numFmtId="0" fontId="31" fillId="7" borderId="11" xfId="3" applyFont="1" applyFill="1" applyBorder="1" applyAlignment="1">
      <alignment horizontal="center"/>
    </xf>
    <xf numFmtId="0" fontId="31" fillId="7" borderId="19" xfId="3" applyFont="1" applyFill="1" applyBorder="1" applyAlignment="1">
      <alignment horizontal="center"/>
    </xf>
    <xf numFmtId="0" fontId="18" fillId="7" borderId="22" xfId="3" applyFill="1" applyBorder="1"/>
    <xf numFmtId="0" fontId="18" fillId="7" borderId="23" xfId="3" applyFill="1" applyBorder="1"/>
    <xf numFmtId="0" fontId="21" fillId="8" borderId="0" xfId="3" applyFont="1" applyFill="1" applyAlignment="1">
      <alignment horizontal="center"/>
    </xf>
    <xf numFmtId="2" fontId="21" fillId="6" borderId="17" xfId="3" applyNumberFormat="1" applyFont="1" applyFill="1" applyBorder="1" applyAlignment="1">
      <alignment horizontal="center"/>
    </xf>
    <xf numFmtId="2" fontId="35" fillId="6" borderId="0" xfId="3" applyNumberFormat="1" applyFont="1" applyFill="1" applyAlignment="1">
      <alignment horizontal="center"/>
    </xf>
    <xf numFmtId="2" fontId="35" fillId="7" borderId="0" xfId="3" applyNumberFormat="1" applyFont="1" applyFill="1" applyAlignment="1">
      <alignment horizontal="center"/>
    </xf>
    <xf numFmtId="0" fontId="34" fillId="5" borderId="18" xfId="3" applyFont="1" applyFill="1" applyBorder="1" applyProtection="1">
      <protection locked="0"/>
    </xf>
    <xf numFmtId="0" fontId="34" fillId="3" borderId="18" xfId="3" applyFont="1" applyFill="1" applyBorder="1" applyProtection="1">
      <protection locked="0"/>
    </xf>
    <xf numFmtId="0" fontId="38" fillId="0" borderId="0" xfId="0" applyFont="1" applyAlignment="1">
      <alignment vertical="center"/>
    </xf>
    <xf numFmtId="0" fontId="14" fillId="7" borderId="19" xfId="3" applyFont="1" applyFill="1" applyBorder="1" applyAlignment="1">
      <alignment horizontal="left" vertical="center"/>
    </xf>
    <xf numFmtId="0" fontId="19" fillId="6" borderId="11" xfId="3" applyFont="1" applyFill="1" applyBorder="1" applyAlignment="1">
      <alignment horizontal="right"/>
    </xf>
    <xf numFmtId="2" fontId="19" fillId="4" borderId="34" xfId="3" applyNumberFormat="1" applyFont="1" applyFill="1" applyBorder="1" applyAlignment="1">
      <alignment horizontal="center"/>
    </xf>
    <xf numFmtId="0" fontId="39" fillId="6" borderId="19" xfId="3" applyFont="1" applyFill="1" applyBorder="1"/>
    <xf numFmtId="0" fontId="20" fillId="0" borderId="0" xfId="0" applyFont="1" applyAlignment="1">
      <alignment horizontal="right" vertical="center"/>
    </xf>
    <xf numFmtId="1" fontId="21" fillId="0" borderId="0" xfId="0" applyNumberFormat="1" applyFont="1" applyAlignment="1" applyProtection="1">
      <alignment horizontal="right" vertical="center"/>
      <protection locked="0"/>
    </xf>
    <xf numFmtId="2" fontId="21" fillId="0" borderId="0" xfId="0" applyNumberFormat="1" applyFont="1" applyAlignment="1" applyProtection="1">
      <alignment horizontal="right" vertical="center"/>
      <protection locked="0"/>
    </xf>
    <xf numFmtId="0" fontId="23" fillId="0" borderId="0" xfId="0" applyFont="1" applyAlignment="1">
      <alignment horizontal="left" vertical="center" indent="1"/>
    </xf>
    <xf numFmtId="11" fontId="0" fillId="0" borderId="0" xfId="0" applyNumberFormat="1" applyAlignment="1">
      <alignment horizontal="right" vertical="center"/>
    </xf>
    <xf numFmtId="172" fontId="0" fillId="0" borderId="0" xfId="0" applyNumberFormat="1" applyAlignment="1">
      <alignment horizontal="right" vertical="center"/>
    </xf>
    <xf numFmtId="0" fontId="19" fillId="11" borderId="18" xfId="0" applyFont="1" applyFill="1" applyBorder="1" applyAlignment="1">
      <alignment horizontal="center" vertical="center"/>
    </xf>
    <xf numFmtId="0" fontId="19" fillId="11" borderId="18" xfId="0" applyFont="1" applyFill="1" applyBorder="1" applyAlignment="1">
      <alignment horizontal="center" vertical="center" wrapText="1"/>
    </xf>
    <xf numFmtId="0" fontId="40" fillId="8" borderId="0" xfId="3" applyFont="1" applyFill="1" applyAlignment="1">
      <alignment horizontal="center"/>
    </xf>
    <xf numFmtId="2" fontId="19" fillId="11" borderId="18" xfId="0" applyNumberFormat="1" applyFont="1" applyFill="1" applyBorder="1" applyAlignment="1">
      <alignment horizontal="center" vertical="center"/>
    </xf>
    <xf numFmtId="0" fontId="12" fillId="0" borderId="0" xfId="3" applyFont="1"/>
    <xf numFmtId="0" fontId="11" fillId="7" borderId="19" xfId="3" applyFont="1" applyFill="1" applyBorder="1"/>
    <xf numFmtId="0" fontId="11" fillId="6" borderId="19" xfId="3" applyFont="1" applyFill="1" applyBorder="1"/>
    <xf numFmtId="0" fontId="18" fillId="7" borderId="11" xfId="3" applyFill="1" applyBorder="1"/>
    <xf numFmtId="0" fontId="18" fillId="6" borderId="31" xfId="3" applyFill="1" applyBorder="1" applyAlignment="1">
      <alignment horizontal="center" vertical="center"/>
    </xf>
    <xf numFmtId="0" fontId="13" fillId="7" borderId="11" xfId="3" applyFont="1" applyFill="1" applyBorder="1" applyAlignment="1">
      <alignment horizontal="center"/>
    </xf>
    <xf numFmtId="0" fontId="41" fillId="7" borderId="0" xfId="3" applyFont="1" applyFill="1" applyAlignment="1">
      <alignment horizontal="center" vertical="center"/>
    </xf>
    <xf numFmtId="0" fontId="13" fillId="6" borderId="11" xfId="3" applyFont="1" applyFill="1" applyBorder="1" applyAlignment="1">
      <alignment horizontal="center"/>
    </xf>
    <xf numFmtId="0" fontId="18" fillId="6" borderId="0" xfId="3" applyFill="1" applyAlignment="1">
      <alignment horizontal="center" vertical="center"/>
    </xf>
    <xf numFmtId="0" fontId="13" fillId="6" borderId="19" xfId="3" applyFont="1" applyFill="1" applyBorder="1" applyAlignment="1">
      <alignment horizontal="center" vertical="center"/>
    </xf>
    <xf numFmtId="0" fontId="13" fillId="7" borderId="19" xfId="3" applyFont="1" applyFill="1" applyBorder="1" applyAlignment="1">
      <alignment horizontal="center" vertical="center"/>
    </xf>
    <xf numFmtId="0" fontId="18" fillId="0" borderId="11" xfId="3" applyBorder="1" applyAlignment="1">
      <alignment horizontal="center"/>
    </xf>
    <xf numFmtId="0" fontId="18" fillId="0" borderId="19" xfId="3" applyBorder="1"/>
    <xf numFmtId="0" fontId="18" fillId="0" borderId="8" xfId="3" applyBorder="1" applyAlignment="1">
      <alignment horizontal="center"/>
    </xf>
    <xf numFmtId="0" fontId="18" fillId="0" borderId="6" xfId="3" applyBorder="1"/>
    <xf numFmtId="0" fontId="18" fillId="0" borderId="34" xfId="3" applyBorder="1"/>
    <xf numFmtId="0" fontId="18" fillId="0" borderId="0" xfId="3" applyAlignment="1">
      <alignment horizontal="center" wrapText="1"/>
    </xf>
    <xf numFmtId="0" fontId="18" fillId="0" borderId="0" xfId="3" applyAlignment="1">
      <alignment wrapText="1"/>
    </xf>
    <xf numFmtId="0" fontId="43" fillId="0" borderId="0" xfId="3" applyFont="1" applyAlignment="1">
      <alignment horizontal="center"/>
    </xf>
    <xf numFmtId="0" fontId="19" fillId="7" borderId="11" xfId="3" applyFont="1" applyFill="1" applyBorder="1" applyAlignment="1">
      <alignment horizontal="right"/>
    </xf>
    <xf numFmtId="0" fontId="10" fillId="0" borderId="0" xfId="3" applyFont="1"/>
    <xf numFmtId="0" fontId="46" fillId="6" borderId="11" xfId="3" applyFont="1" applyFill="1" applyBorder="1" applyAlignment="1">
      <alignment horizontal="right"/>
    </xf>
    <xf numFmtId="0" fontId="46" fillId="7" borderId="11" xfId="3" applyFont="1" applyFill="1" applyBorder="1" applyAlignment="1">
      <alignment horizontal="right"/>
    </xf>
    <xf numFmtId="0" fontId="0" fillId="0" borderId="0" xfId="0" applyAlignment="1">
      <alignment horizontal="center"/>
    </xf>
    <xf numFmtId="14" fontId="18" fillId="0" borderId="0" xfId="3" applyNumberFormat="1"/>
    <xf numFmtId="0" fontId="9" fillId="0" borderId="36" xfId="3" applyFont="1" applyBorder="1" applyAlignment="1">
      <alignment horizontal="center"/>
    </xf>
    <xf numFmtId="0" fontId="18" fillId="0" borderId="38" xfId="3" applyBorder="1"/>
    <xf numFmtId="0" fontId="9" fillId="0" borderId="39" xfId="3" applyFont="1" applyBorder="1" applyAlignment="1">
      <alignment horizontal="center"/>
    </xf>
    <xf numFmtId="0" fontId="18" fillId="0" borderId="40" xfId="3" applyBorder="1"/>
    <xf numFmtId="0" fontId="9" fillId="0" borderId="41" xfId="3" applyFont="1" applyBorder="1" applyAlignment="1">
      <alignment horizontal="center"/>
    </xf>
    <xf numFmtId="0" fontId="18" fillId="0" borderId="42" xfId="3" applyBorder="1"/>
    <xf numFmtId="0" fontId="18" fillId="0" borderId="35" xfId="3" applyBorder="1"/>
    <xf numFmtId="165" fontId="18" fillId="0" borderId="37" xfId="3" applyNumberFormat="1" applyBorder="1"/>
    <xf numFmtId="0" fontId="8" fillId="0" borderId="0" xfId="3" applyFont="1"/>
    <xf numFmtId="0" fontId="48" fillId="0" borderId="0" xfId="5"/>
    <xf numFmtId="0" fontId="49" fillId="0" borderId="0" xfId="5" applyFont="1" applyAlignment="1">
      <alignment horizontal="left"/>
    </xf>
    <xf numFmtId="0" fontId="18" fillId="0" borderId="0" xfId="3" applyAlignment="1">
      <alignment horizontal="center" vertical="center"/>
    </xf>
    <xf numFmtId="4" fontId="18" fillId="0" borderId="0" xfId="3" applyNumberFormat="1" applyAlignment="1">
      <alignment horizontal="center"/>
    </xf>
    <xf numFmtId="0" fontId="6" fillId="0" borderId="19" xfId="3" applyFont="1" applyBorder="1" applyAlignment="1">
      <alignment horizontal="center" vertical="center"/>
    </xf>
    <xf numFmtId="2" fontId="21" fillId="6" borderId="0" xfId="3" applyNumberFormat="1" applyFont="1" applyFill="1" applyAlignment="1">
      <alignment horizontal="center"/>
    </xf>
    <xf numFmtId="0" fontId="29" fillId="6" borderId="14" xfId="3" applyFont="1" applyFill="1" applyBorder="1" applyAlignment="1">
      <alignment horizontal="center" vertical="center"/>
    </xf>
    <xf numFmtId="0" fontId="29" fillId="0" borderId="11" xfId="3" applyFont="1" applyBorder="1" applyAlignment="1">
      <alignment horizontal="center"/>
    </xf>
    <xf numFmtId="2" fontId="0" fillId="0" borderId="0" xfId="0" applyNumberFormat="1" applyAlignment="1">
      <alignment horizontal="center" vertical="center"/>
    </xf>
    <xf numFmtId="0" fontId="29" fillId="5" borderId="18" xfId="3" applyFont="1" applyFill="1" applyBorder="1" applyAlignment="1" applyProtection="1">
      <alignment horizontal="center" vertical="center"/>
      <protection locked="0"/>
    </xf>
    <xf numFmtId="0" fontId="0" fillId="12" borderId="0" xfId="0" applyFill="1"/>
    <xf numFmtId="0" fontId="20" fillId="0" borderId="0" xfId="6"/>
    <xf numFmtId="0" fontId="28" fillId="14" borderId="48" xfId="6" applyFont="1" applyFill="1" applyBorder="1" applyAlignment="1">
      <alignment horizontal="center" wrapText="1"/>
    </xf>
    <xf numFmtId="0" fontId="28" fillId="0" borderId="49" xfId="6" applyFont="1" applyBorder="1" applyAlignment="1">
      <alignment horizontal="center" wrapText="1"/>
    </xf>
    <xf numFmtId="0" fontId="28" fillId="13" borderId="49" xfId="6" applyFont="1" applyFill="1" applyBorder="1" applyAlignment="1">
      <alignment horizontal="center" wrapText="1"/>
    </xf>
    <xf numFmtId="0" fontId="28" fillId="13" borderId="50" xfId="6" applyFont="1" applyFill="1" applyBorder="1" applyAlignment="1">
      <alignment horizontal="center" wrapText="1"/>
    </xf>
    <xf numFmtId="0" fontId="52" fillId="0" borderId="0" xfId="6" applyFont="1" applyAlignment="1">
      <alignment horizontal="center" vertical="center" wrapText="1"/>
    </xf>
    <xf numFmtId="0" fontId="52" fillId="0" borderId="0" xfId="0" applyFont="1" applyAlignment="1">
      <alignment horizontal="center" vertical="center"/>
    </xf>
    <xf numFmtId="166" fontId="49" fillId="0" borderId="0" xfId="5" applyNumberFormat="1" applyFont="1" applyAlignment="1">
      <alignment horizontal="left"/>
    </xf>
    <xf numFmtId="0" fontId="54" fillId="16" borderId="52" xfId="0" applyFont="1" applyFill="1" applyBorder="1" applyAlignment="1">
      <alignment horizontal="center" vertical="center" wrapText="1"/>
    </xf>
    <xf numFmtId="0" fontId="54" fillId="16" borderId="53" xfId="0" applyFont="1" applyFill="1" applyBorder="1" applyAlignment="1">
      <alignment horizontal="center" vertical="center" wrapText="1"/>
    </xf>
    <xf numFmtId="0" fontId="56" fillId="15" borderId="51" xfId="0" applyFont="1" applyFill="1" applyBorder="1" applyAlignment="1">
      <alignment horizontal="center" vertical="center"/>
    </xf>
    <xf numFmtId="0" fontId="56" fillId="15" borderId="0" xfId="0" applyFont="1" applyFill="1" applyAlignment="1">
      <alignment horizontal="center" vertical="center"/>
    </xf>
    <xf numFmtId="11" fontId="56" fillId="15" borderId="0" xfId="0" applyNumberFormat="1" applyFont="1" applyFill="1" applyAlignment="1">
      <alignment horizontal="center" vertical="center"/>
    </xf>
    <xf numFmtId="0" fontId="56" fillId="16" borderId="51" xfId="0" applyFont="1" applyFill="1" applyBorder="1" applyAlignment="1">
      <alignment horizontal="center" vertical="center"/>
    </xf>
    <xf numFmtId="0" fontId="56" fillId="16" borderId="0" xfId="0" applyFont="1" applyFill="1" applyAlignment="1">
      <alignment horizontal="center" vertical="center"/>
    </xf>
    <xf numFmtId="11" fontId="56" fillId="16" borderId="0" xfId="0" applyNumberFormat="1" applyFont="1" applyFill="1" applyAlignment="1">
      <alignment horizontal="center" vertical="center"/>
    </xf>
    <xf numFmtId="0" fontId="54" fillId="16" borderId="54" xfId="0" applyFont="1" applyFill="1" applyBorder="1" applyAlignment="1">
      <alignment horizontal="center" vertical="center" wrapText="1"/>
    </xf>
    <xf numFmtId="0" fontId="54" fillId="16" borderId="55" xfId="0" applyFont="1" applyFill="1" applyBorder="1" applyAlignment="1">
      <alignment horizontal="center" vertical="center" wrapText="1"/>
    </xf>
    <xf numFmtId="0" fontId="54" fillId="16" borderId="56" xfId="0" applyFont="1" applyFill="1" applyBorder="1" applyAlignment="1">
      <alignment horizontal="center" vertical="center" wrapText="1"/>
    </xf>
    <xf numFmtId="0" fontId="54" fillId="16" borderId="57" xfId="0" applyFont="1" applyFill="1" applyBorder="1" applyAlignment="1">
      <alignment horizontal="center" vertical="center" wrapText="1"/>
    </xf>
    <xf numFmtId="0" fontId="56" fillId="15" borderId="58" xfId="0" applyFont="1" applyFill="1" applyBorder="1" applyAlignment="1">
      <alignment horizontal="center" vertical="center"/>
    </xf>
    <xf numFmtId="0" fontId="56" fillId="16" borderId="58" xfId="0" applyFont="1" applyFill="1" applyBorder="1" applyAlignment="1">
      <alignment horizontal="center" vertical="center"/>
    </xf>
    <xf numFmtId="0" fontId="56" fillId="16" borderId="57" xfId="0" applyFont="1" applyFill="1" applyBorder="1" applyAlignment="1">
      <alignment horizontal="center" vertical="center"/>
    </xf>
    <xf numFmtId="0" fontId="56" fillId="16" borderId="53" xfId="0" applyFont="1" applyFill="1" applyBorder="1" applyAlignment="1">
      <alignment horizontal="center" vertical="center"/>
    </xf>
    <xf numFmtId="11" fontId="56" fillId="16" borderId="53" xfId="0" applyNumberFormat="1" applyFont="1" applyFill="1" applyBorder="1" applyAlignment="1">
      <alignment horizontal="center" vertical="center"/>
    </xf>
    <xf numFmtId="0" fontId="56" fillId="16" borderId="52" xfId="0" applyFont="1" applyFill="1" applyBorder="1" applyAlignment="1">
      <alignment horizontal="center" vertical="center"/>
    </xf>
    <xf numFmtId="0" fontId="56" fillId="15" borderId="54" xfId="0" applyFont="1" applyFill="1" applyBorder="1" applyAlignment="1">
      <alignment horizontal="center" vertical="center"/>
    </xf>
    <xf numFmtId="0" fontId="56" fillId="15" borderId="55" xfId="0" applyFont="1" applyFill="1" applyBorder="1" applyAlignment="1">
      <alignment horizontal="center" vertical="center"/>
    </xf>
    <xf numFmtId="11" fontId="56" fillId="15" borderId="55" xfId="0" applyNumberFormat="1" applyFont="1" applyFill="1" applyBorder="1" applyAlignment="1">
      <alignment horizontal="center" vertical="center"/>
    </xf>
    <xf numFmtId="0" fontId="56" fillId="15" borderId="56" xfId="0" applyFont="1" applyFill="1" applyBorder="1" applyAlignment="1">
      <alignment horizontal="center" vertical="center"/>
    </xf>
    <xf numFmtId="0" fontId="27" fillId="0" borderId="0" xfId="1" applyAlignment="1" applyProtection="1">
      <alignment vertical="center"/>
    </xf>
    <xf numFmtId="0" fontId="57" fillId="0" borderId="0" xfId="0" applyFont="1" applyAlignment="1">
      <alignment vertical="center"/>
    </xf>
    <xf numFmtId="0" fontId="58" fillId="0" borderId="0" xfId="0" applyFont="1" applyAlignment="1">
      <alignment vertical="center"/>
    </xf>
    <xf numFmtId="0" fontId="19" fillId="0" borderId="0" xfId="0" applyFont="1"/>
    <xf numFmtId="0" fontId="19" fillId="0" borderId="0" xfId="0" applyFont="1" applyAlignment="1">
      <alignment horizontal="center" vertical="center" wrapText="1"/>
    </xf>
    <xf numFmtId="0" fontId="20" fillId="0" borderId="0" xfId="0" applyFont="1" applyAlignment="1">
      <alignment horizontal="left" vertical="center" wrapText="1"/>
    </xf>
    <xf numFmtId="166" fontId="20" fillId="0" borderId="0" xfId="0" applyNumberFormat="1" applyFont="1" applyAlignment="1">
      <alignment horizontal="left" vertical="center" wrapText="1"/>
    </xf>
    <xf numFmtId="0" fontId="5" fillId="0" borderId="0" xfId="7" applyAlignment="1">
      <alignment horizontal="left"/>
    </xf>
    <xf numFmtId="0" fontId="50" fillId="0" borderId="0" xfId="5" applyFont="1" applyAlignment="1">
      <alignment wrapText="1"/>
    </xf>
    <xf numFmtId="0" fontId="5" fillId="0" borderId="0" xfId="7"/>
    <xf numFmtId="0" fontId="50" fillId="0" borderId="0" xfId="5" applyFont="1" applyAlignment="1">
      <alignment horizontal="center" vertical="center" wrapText="1"/>
    </xf>
    <xf numFmtId="168" fontId="53" fillId="0" borderId="0" xfId="5" applyNumberFormat="1" applyFont="1" applyAlignment="1">
      <alignment horizontal="center" vertical="center" wrapText="1"/>
    </xf>
    <xf numFmtId="0" fontId="5" fillId="0" borderId="0" xfId="7" applyAlignment="1">
      <alignment horizontal="center" vertical="center"/>
    </xf>
    <xf numFmtId="0" fontId="49" fillId="0" borderId="0" xfId="5" applyFont="1" applyAlignment="1">
      <alignment horizontal="center" vertical="center"/>
    </xf>
    <xf numFmtId="168" fontId="5" fillId="0" borderId="0" xfId="7" applyNumberFormat="1" applyAlignment="1">
      <alignment horizontal="center" vertical="center"/>
    </xf>
    <xf numFmtId="168" fontId="48" fillId="0" borderId="0" xfId="5" applyNumberFormat="1" applyAlignment="1">
      <alignment horizontal="center" vertical="center"/>
    </xf>
    <xf numFmtId="168" fontId="49" fillId="0" borderId="0" xfId="5" applyNumberFormat="1" applyFont="1" applyAlignment="1">
      <alignment horizontal="center" vertical="center"/>
    </xf>
    <xf numFmtId="168" fontId="0" fillId="0" borderId="0" xfId="0" applyNumberFormat="1" applyAlignment="1">
      <alignment horizontal="center" vertical="center"/>
    </xf>
    <xf numFmtId="0" fontId="48" fillId="0" borderId="0" xfId="5" applyAlignment="1">
      <alignment horizontal="center" vertical="center"/>
    </xf>
    <xf numFmtId="2" fontId="49" fillId="0" borderId="0" xfId="5" applyNumberFormat="1" applyFont="1" applyAlignment="1">
      <alignment horizontal="center" vertical="center"/>
    </xf>
    <xf numFmtId="2" fontId="48" fillId="0" borderId="0" xfId="5" applyNumberFormat="1" applyAlignment="1">
      <alignment horizontal="center" vertical="center"/>
    </xf>
    <xf numFmtId="0" fontId="4" fillId="6" borderId="11" xfId="3" applyFont="1" applyFill="1" applyBorder="1" applyAlignment="1">
      <alignment horizontal="right"/>
    </xf>
    <xf numFmtId="0" fontId="59" fillId="0" borderId="0" xfId="0" applyFont="1" applyAlignment="1">
      <alignment vertical="center"/>
    </xf>
    <xf numFmtId="0" fontId="60" fillId="0" borderId="0" xfId="0" applyFont="1" applyAlignment="1">
      <alignment horizontal="center" vertical="center"/>
    </xf>
    <xf numFmtId="0" fontId="34" fillId="12" borderId="18" xfId="3" applyFont="1" applyFill="1" applyBorder="1" applyProtection="1">
      <protection locked="0"/>
    </xf>
    <xf numFmtId="0" fontId="3" fillId="7" borderId="11" xfId="3" applyFont="1" applyFill="1" applyBorder="1" applyAlignment="1">
      <alignment horizontal="right"/>
    </xf>
    <xf numFmtId="2" fontId="34" fillId="5" borderId="18" xfId="3" applyNumberFormat="1" applyFont="1" applyFill="1" applyBorder="1" applyProtection="1">
      <protection locked="0"/>
    </xf>
    <xf numFmtId="168" fontId="62" fillId="0" borderId="0" xfId="7" applyNumberFormat="1" applyFont="1" applyAlignment="1">
      <alignment horizontal="center" vertical="center"/>
    </xf>
    <xf numFmtId="168" fontId="63" fillId="0" borderId="0" xfId="5" applyNumberFormat="1" applyFont="1" applyAlignment="1">
      <alignment horizontal="center" vertical="center"/>
    </xf>
    <xf numFmtId="168" fontId="64" fillId="0" borderId="0" xfId="0" applyNumberFormat="1" applyFont="1" applyAlignment="1">
      <alignment horizontal="center" vertical="center"/>
    </xf>
    <xf numFmtId="0" fontId="3" fillId="6" borderId="19" xfId="3" applyFont="1" applyFill="1" applyBorder="1"/>
    <xf numFmtId="0" fontId="3" fillId="7" borderId="19" xfId="3" applyFont="1" applyFill="1" applyBorder="1"/>
    <xf numFmtId="0" fontId="0" fillId="0" borderId="18" xfId="0" applyBorder="1" applyAlignment="1">
      <alignment horizontal="center"/>
    </xf>
    <xf numFmtId="0" fontId="0" fillId="15" borderId="18" xfId="0" applyFill="1" applyBorder="1" applyAlignment="1">
      <alignment horizontal="center"/>
    </xf>
    <xf numFmtId="0" fontId="0" fillId="15" borderId="18" xfId="0" applyFill="1" applyBorder="1" applyAlignment="1">
      <alignment horizontal="center" wrapText="1"/>
    </xf>
    <xf numFmtId="0" fontId="19" fillId="17" borderId="18" xfId="0" applyFont="1" applyFill="1" applyBorder="1" applyAlignment="1">
      <alignment horizontal="center"/>
    </xf>
    <xf numFmtId="0" fontId="0" fillId="18" borderId="18" xfId="0" applyFill="1" applyBorder="1" applyAlignment="1">
      <alignment horizontal="center"/>
    </xf>
    <xf numFmtId="0" fontId="0" fillId="19" borderId="18" xfId="0" applyFill="1" applyBorder="1" applyAlignment="1">
      <alignment horizontal="center"/>
    </xf>
    <xf numFmtId="168" fontId="50" fillId="12" borderId="0" xfId="5" applyNumberFormat="1" applyFont="1" applyFill="1" applyAlignment="1">
      <alignment horizontal="center" vertical="center" wrapText="1"/>
    </xf>
    <xf numFmtId="0" fontId="50" fillId="12" borderId="0" xfId="5" applyFont="1" applyFill="1" applyAlignment="1">
      <alignment horizontal="center" vertical="center" wrapText="1"/>
    </xf>
    <xf numFmtId="2" fontId="50" fillId="12" borderId="0" xfId="5" applyNumberFormat="1" applyFont="1" applyFill="1" applyAlignment="1">
      <alignment horizontal="center" vertical="center" wrapText="1"/>
    </xf>
    <xf numFmtId="0" fontId="20" fillId="0" borderId="0" xfId="0" applyFont="1" applyAlignment="1">
      <alignment horizontal="center" vertical="center" wrapText="1"/>
    </xf>
    <xf numFmtId="0" fontId="49" fillId="0" borderId="0" xfId="5" applyFont="1" applyAlignment="1">
      <alignment horizontal="center"/>
    </xf>
    <xf numFmtId="0" fontId="19" fillId="0" borderId="0" xfId="0" applyFont="1" applyAlignment="1">
      <alignment horizontal="center"/>
    </xf>
    <xf numFmtId="0" fontId="2" fillId="0" borderId="0" xfId="3" applyFont="1" applyAlignment="1">
      <alignment horizontal="center"/>
    </xf>
    <xf numFmtId="0" fontId="1" fillId="7" borderId="11" xfId="3" applyFont="1" applyFill="1" applyBorder="1" applyAlignment="1">
      <alignment horizontal="center"/>
    </xf>
    <xf numFmtId="165" fontId="34" fillId="5" borderId="18" xfId="3" applyNumberFormat="1" applyFont="1" applyFill="1" applyBorder="1" applyAlignment="1" applyProtection="1">
      <alignment horizontal="center"/>
      <protection locked="0"/>
    </xf>
    <xf numFmtId="0" fontId="37" fillId="7" borderId="19" xfId="3" applyFont="1" applyFill="1" applyBorder="1" applyProtection="1">
      <protection locked="0"/>
    </xf>
    <xf numFmtId="0" fontId="34" fillId="7" borderId="19" xfId="3" applyFont="1" applyFill="1" applyBorder="1" applyAlignment="1" applyProtection="1">
      <alignment horizontal="center"/>
      <protection locked="0"/>
    </xf>
    <xf numFmtId="0" fontId="37" fillId="7" borderId="19" xfId="3" applyFont="1" applyFill="1" applyBorder="1" applyAlignment="1" applyProtection="1">
      <alignment horizontal="center" vertical="center"/>
      <protection locked="0"/>
    </xf>
    <xf numFmtId="0" fontId="20" fillId="7" borderId="0" xfId="3" applyFont="1" applyFill="1" applyAlignment="1" applyProtection="1">
      <alignment horizontal="center"/>
      <protection locked="0"/>
    </xf>
    <xf numFmtId="0" fontId="61" fillId="0" borderId="0" xfId="3" applyFont="1" applyAlignment="1" applyProtection="1">
      <alignment horizontal="center"/>
      <protection locked="0"/>
    </xf>
    <xf numFmtId="49" fontId="35" fillId="6" borderId="0" xfId="3" applyNumberFormat="1" applyFont="1" applyFill="1" applyAlignment="1" applyProtection="1">
      <alignment horizontal="center"/>
      <protection locked="0"/>
    </xf>
    <xf numFmtId="14" fontId="18" fillId="0" borderId="0" xfId="3" applyNumberFormat="1" applyProtection="1">
      <protection locked="0"/>
    </xf>
    <xf numFmtId="0" fontId="37" fillId="0" borderId="0" xfId="3" applyFont="1"/>
    <xf numFmtId="0" fontId="36" fillId="0" borderId="0" xfId="3" applyFont="1" applyAlignment="1">
      <alignment horizontal="center"/>
    </xf>
    <xf numFmtId="0" fontId="36" fillId="0" borderId="0" xfId="3" applyFont="1" applyAlignment="1">
      <alignment horizontal="left"/>
    </xf>
    <xf numFmtId="9" fontId="36" fillId="0" borderId="0" xfId="3" applyNumberFormat="1" applyFont="1" applyAlignment="1">
      <alignment horizontal="left"/>
    </xf>
    <xf numFmtId="2" fontId="40" fillId="8" borderId="0" xfId="0" applyNumberFormat="1" applyFont="1" applyFill="1" applyAlignment="1">
      <alignment horizontal="left" vertical="center"/>
    </xf>
    <xf numFmtId="0" fontId="37" fillId="0" borderId="0" xfId="3" applyFont="1" applyAlignment="1">
      <alignment horizontal="left" vertical="top" wrapText="1"/>
    </xf>
    <xf numFmtId="0" fontId="67" fillId="0" borderId="0" xfId="0" applyFont="1" applyAlignment="1">
      <alignment horizontal="left" vertical="top" wrapText="1"/>
    </xf>
    <xf numFmtId="0" fontId="31" fillId="7" borderId="19" xfId="3" applyFont="1" applyFill="1" applyBorder="1" applyAlignment="1" applyProtection="1">
      <alignment horizontal="left" vertical="top"/>
      <protection locked="0"/>
    </xf>
    <xf numFmtId="0" fontId="31" fillId="0" borderId="6" xfId="3" applyFont="1" applyBorder="1" applyAlignment="1">
      <alignment horizontal="center"/>
    </xf>
    <xf numFmtId="0" fontId="32" fillId="0" borderId="0" xfId="3" applyFont="1" applyAlignment="1">
      <alignment horizontal="center"/>
    </xf>
    <xf numFmtId="0" fontId="21" fillId="9" borderId="16" xfId="3" applyFont="1" applyFill="1" applyBorder="1" applyAlignment="1">
      <alignment horizontal="center"/>
    </xf>
    <xf numFmtId="0" fontId="21" fillId="9" borderId="21" xfId="3" applyFont="1" applyFill="1" applyBorder="1" applyAlignment="1">
      <alignment horizontal="center"/>
    </xf>
    <xf numFmtId="0" fontId="21" fillId="9" borderId="20" xfId="3" applyFont="1" applyFill="1" applyBorder="1" applyAlignment="1">
      <alignment horizontal="center"/>
    </xf>
    <xf numFmtId="0" fontId="19" fillId="4" borderId="16" xfId="3" applyFont="1" applyFill="1" applyBorder="1" applyAlignment="1">
      <alignment horizontal="center"/>
    </xf>
    <xf numFmtId="0" fontId="21" fillId="4" borderId="21" xfId="3" applyFont="1" applyFill="1" applyBorder="1" applyAlignment="1">
      <alignment horizontal="center"/>
    </xf>
    <xf numFmtId="0" fontId="21" fillId="4" borderId="20" xfId="3" applyFont="1" applyFill="1" applyBorder="1" applyAlignment="1">
      <alignment horizontal="center"/>
    </xf>
    <xf numFmtId="0" fontId="21" fillId="7" borderId="11" xfId="3" applyFont="1" applyFill="1" applyBorder="1" applyAlignment="1">
      <alignment horizontal="center"/>
    </xf>
    <xf numFmtId="0" fontId="21" fillId="7" borderId="0" xfId="3" applyFont="1" applyFill="1" applyAlignment="1">
      <alignment horizontal="center"/>
    </xf>
    <xf numFmtId="0" fontId="36" fillId="9" borderId="16" xfId="3" applyFont="1" applyFill="1" applyBorder="1" applyAlignment="1">
      <alignment horizontal="center" vertical="center"/>
    </xf>
    <xf numFmtId="0" fontId="18" fillId="9" borderId="21" xfId="3" applyFill="1" applyBorder="1" applyAlignment="1">
      <alignment horizontal="center" vertical="center"/>
    </xf>
    <xf numFmtId="0" fontId="18" fillId="9" borderId="20" xfId="3" applyFill="1" applyBorder="1" applyAlignment="1">
      <alignment horizontal="center" vertical="center"/>
    </xf>
    <xf numFmtId="0" fontId="19" fillId="7" borderId="11" xfId="3" applyFont="1" applyFill="1" applyBorder="1" applyAlignment="1">
      <alignment horizontal="center" vertical="center"/>
    </xf>
    <xf numFmtId="0" fontId="31" fillId="7" borderId="0" xfId="3" applyFont="1" applyFill="1" applyAlignment="1">
      <alignment horizontal="center" vertical="center"/>
    </xf>
    <xf numFmtId="0" fontId="51" fillId="10" borderId="1" xfId="3" applyFont="1" applyFill="1" applyBorder="1" applyAlignment="1">
      <alignment horizontal="center" vertical="center" wrapText="1"/>
    </xf>
    <xf numFmtId="0" fontId="42" fillId="10" borderId="2" xfId="3" applyFont="1" applyFill="1" applyBorder="1" applyAlignment="1">
      <alignment horizontal="center" vertical="center" wrapText="1"/>
    </xf>
    <xf numFmtId="0" fontId="42" fillId="10" borderId="4" xfId="3" applyFont="1" applyFill="1" applyBorder="1" applyAlignment="1">
      <alignment horizontal="center" vertical="center" wrapText="1"/>
    </xf>
    <xf numFmtId="0" fontId="65" fillId="10" borderId="1" xfId="3" applyFont="1" applyFill="1" applyBorder="1" applyAlignment="1">
      <alignment horizontal="center" vertical="center"/>
    </xf>
    <xf numFmtId="0" fontId="44" fillId="10" borderId="2" xfId="3" applyFont="1" applyFill="1" applyBorder="1" applyAlignment="1">
      <alignment horizontal="center" vertical="center"/>
    </xf>
    <xf numFmtId="0" fontId="44" fillId="10" borderId="4" xfId="3" applyFont="1" applyFill="1" applyBorder="1" applyAlignment="1">
      <alignment horizontal="center" vertical="center"/>
    </xf>
    <xf numFmtId="0" fontId="66" fillId="4" borderId="22" xfId="3" applyFont="1" applyFill="1" applyBorder="1" applyAlignment="1" applyProtection="1">
      <alignment horizontal="center" wrapText="1"/>
      <protection locked="0"/>
    </xf>
    <xf numFmtId="0" fontId="21" fillId="4" borderId="23" xfId="3" applyFont="1" applyFill="1" applyBorder="1" applyAlignment="1" applyProtection="1">
      <alignment horizontal="center"/>
      <protection locked="0"/>
    </xf>
    <xf numFmtId="10" fontId="21" fillId="4" borderId="25" xfId="3" applyNumberFormat="1" applyFont="1" applyFill="1" applyBorder="1" applyAlignment="1" applyProtection="1">
      <alignment horizontal="center"/>
      <protection locked="0"/>
    </xf>
    <xf numFmtId="0" fontId="29" fillId="5" borderId="32" xfId="3" applyFont="1" applyFill="1" applyBorder="1" applyAlignment="1">
      <alignment horizontal="center"/>
    </xf>
    <xf numFmtId="0" fontId="29" fillId="5" borderId="33" xfId="3" applyFont="1" applyFill="1" applyBorder="1" applyAlignment="1">
      <alignment horizontal="center"/>
    </xf>
    <xf numFmtId="0" fontId="29" fillId="5" borderId="30" xfId="3" applyFont="1" applyFill="1" applyBorder="1" applyAlignment="1">
      <alignment horizontal="center"/>
    </xf>
    <xf numFmtId="0" fontId="29" fillId="4" borderId="16" xfId="3" applyFont="1" applyFill="1" applyBorder="1" applyAlignment="1">
      <alignment horizontal="center"/>
    </xf>
    <xf numFmtId="0" fontId="29" fillId="4" borderId="21" xfId="3" applyFont="1" applyFill="1" applyBorder="1" applyAlignment="1">
      <alignment horizontal="center"/>
    </xf>
    <xf numFmtId="0" fontId="29" fillId="4" borderId="20" xfId="3" applyFont="1" applyFill="1" applyBorder="1" applyAlignment="1">
      <alignment horizontal="center"/>
    </xf>
    <xf numFmtId="0" fontId="21" fillId="4" borderId="16" xfId="3" applyFont="1" applyFill="1" applyBorder="1" applyAlignment="1">
      <alignment horizontal="center"/>
    </xf>
    <xf numFmtId="0" fontId="65" fillId="0" borderId="16" xfId="3" applyFont="1" applyBorder="1" applyAlignment="1">
      <alignment horizontal="center"/>
    </xf>
    <xf numFmtId="0" fontId="43" fillId="0" borderId="21" xfId="3" applyFont="1" applyBorder="1" applyAlignment="1">
      <alignment horizontal="center"/>
    </xf>
    <xf numFmtId="0" fontId="43" fillId="0" borderId="20" xfId="3" applyFont="1" applyBorder="1" applyAlignment="1">
      <alignment horizontal="center"/>
    </xf>
    <xf numFmtId="0" fontId="7" fillId="10" borderId="1" xfId="3" applyFont="1" applyFill="1" applyBorder="1" applyAlignment="1">
      <alignment horizontal="center"/>
    </xf>
    <xf numFmtId="0" fontId="18" fillId="10" borderId="2" xfId="3" applyFill="1" applyBorder="1" applyAlignment="1">
      <alignment horizontal="center"/>
    </xf>
    <xf numFmtId="0" fontId="18" fillId="10" borderId="4" xfId="3" applyFill="1" applyBorder="1" applyAlignment="1">
      <alignment horizontal="center"/>
    </xf>
    <xf numFmtId="0" fontId="18" fillId="4" borderId="8" xfId="3" applyFill="1" applyBorder="1" applyAlignment="1" applyProtection="1">
      <alignment horizontal="center"/>
      <protection locked="0"/>
    </xf>
    <xf numFmtId="0" fontId="18" fillId="4" borderId="6" xfId="3" applyFill="1" applyBorder="1" applyAlignment="1" applyProtection="1">
      <alignment horizontal="center"/>
      <protection locked="0"/>
    </xf>
    <xf numFmtId="0" fontId="18" fillId="4" borderId="34" xfId="3" applyFill="1" applyBorder="1" applyAlignment="1" applyProtection="1">
      <alignment horizontal="center"/>
      <protection locked="0"/>
    </xf>
    <xf numFmtId="0" fontId="51" fillId="0" borderId="59" xfId="3" applyFont="1" applyBorder="1" applyAlignment="1">
      <alignment horizontal="center" vertical="center"/>
    </xf>
    <xf numFmtId="173" fontId="25" fillId="0" borderId="0" xfId="0" applyNumberFormat="1" applyFont="1" applyAlignment="1">
      <alignment horizontal="left" vertical="center"/>
    </xf>
    <xf numFmtId="0" fontId="25" fillId="0" borderId="0" xfId="0" applyFont="1" applyAlignment="1">
      <alignment horizontal="center" vertical="center"/>
    </xf>
    <xf numFmtId="0" fontId="27" fillId="0" borderId="0" xfId="1" applyFill="1" applyBorder="1" applyAlignment="1" applyProtection="1">
      <alignment horizontal="left" vertical="center"/>
    </xf>
    <xf numFmtId="0" fontId="28" fillId="0" borderId="43" xfId="6" applyFont="1" applyBorder="1" applyAlignment="1">
      <alignment horizontal="center" wrapText="1"/>
    </xf>
    <xf numFmtId="0" fontId="28" fillId="0" borderId="44" xfId="6" applyFont="1" applyBorder="1" applyAlignment="1">
      <alignment horizontal="center" wrapText="1"/>
    </xf>
    <xf numFmtId="0" fontId="28" fillId="13" borderId="45" xfId="6" applyFont="1" applyFill="1" applyBorder="1" applyAlignment="1">
      <alignment horizontal="center" wrapText="1"/>
    </xf>
    <xf numFmtId="0" fontId="28" fillId="13" borderId="46" xfId="6" applyFont="1" applyFill="1" applyBorder="1" applyAlignment="1">
      <alignment horizontal="center" wrapText="1"/>
    </xf>
    <xf numFmtId="0" fontId="28" fillId="13" borderId="47" xfId="6" applyFont="1" applyFill="1" applyBorder="1" applyAlignment="1">
      <alignment horizontal="center" wrapText="1"/>
    </xf>
  </cellXfs>
  <cellStyles count="8">
    <cellStyle name="Hyperlink" xfId="1" builtinId="8"/>
    <cellStyle name="Hyperlink 2" xfId="4" xr:uid="{9B9CC75F-629B-4193-9065-11BE5D48C8EB}"/>
    <cellStyle name="Normal" xfId="0" builtinId="0"/>
    <cellStyle name="Normal 2" xfId="2" xr:uid="{B032B11C-25A2-4895-8E8E-A7BF43F938BB}"/>
    <cellStyle name="Normal 3" xfId="3" xr:uid="{B119A27C-385C-40EB-893C-E614C6CF38E3}"/>
    <cellStyle name="Normal 4" xfId="5" xr:uid="{5A79E287-C2AE-4CCE-B9B1-151973FAEFA4}"/>
    <cellStyle name="Normal 5" xfId="6" xr:uid="{965BC6F1-42B5-46FE-B2DE-03A707A0E7F3}"/>
    <cellStyle name="Normal 6" xfId="7" xr:uid="{7B37D1EF-4E20-48A7-92B2-ABEFED850972}"/>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CC"/>
      <color rgb="FFFFFF99"/>
      <color rgb="FF0000FF"/>
      <color rgb="FFE44438"/>
      <color rgb="FFFFE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hyperlink" Target="https://emea.dcv.ms/Hak7qlUrAD"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4.emf"/><Relationship Id="rId7" Type="http://schemas.openxmlformats.org/officeDocument/2006/relationships/image" Target="../media/image9.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8.emf"/><Relationship Id="rId5" Type="http://schemas.openxmlformats.org/officeDocument/2006/relationships/image" Target="../media/image7.emf"/><Relationship Id="rId4" Type="http://schemas.openxmlformats.org/officeDocument/2006/relationships/image" Target="../media/image3.emf"/><Relationship Id="rId9"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7</xdr:col>
      <xdr:colOff>247650</xdr:colOff>
      <xdr:row>3</xdr:row>
      <xdr:rowOff>0</xdr:rowOff>
    </xdr:from>
    <xdr:to>
      <xdr:col>7</xdr:col>
      <xdr:colOff>492186</xdr:colOff>
      <xdr:row>3</xdr:row>
      <xdr:rowOff>186690</xdr:rowOff>
    </xdr:to>
    <xdr:sp macro="[0]!ShowAboutForm" textlink="">
      <xdr:nvSpPr>
        <xdr:cNvPr id="9" name="Question Mark">
          <a:extLst>
            <a:ext uri="{FF2B5EF4-FFF2-40B4-BE49-F238E27FC236}">
              <a16:creationId xmlns:a16="http://schemas.microsoft.com/office/drawing/2014/main" id="{4513F366-2834-4BF6-B6E9-BFF2A4A168B9}"/>
            </a:ext>
          </a:extLst>
        </xdr:cNvPr>
        <xdr:cNvSpPr>
          <a:spLocks noChangeAspect="1"/>
        </xdr:cNvSpPr>
      </xdr:nvSpPr>
      <xdr:spPr>
        <a:xfrm>
          <a:off x="7562850" y="1162050"/>
          <a:ext cx="227391" cy="1943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fPrintsWithSheet="0"/>
  </xdr:twoCellAnchor>
  <xdr:twoCellAnchor>
    <xdr:from>
      <xdr:col>1</xdr:col>
      <xdr:colOff>9524</xdr:colOff>
      <xdr:row>44</xdr:row>
      <xdr:rowOff>85725</xdr:rowOff>
    </xdr:from>
    <xdr:to>
      <xdr:col>4</xdr:col>
      <xdr:colOff>9525</xdr:colOff>
      <xdr:row>45</xdr:row>
      <xdr:rowOff>57150</xdr:rowOff>
    </xdr:to>
    <xdr:sp macro="" textlink="">
      <xdr:nvSpPr>
        <xdr:cNvPr id="15" name="Feedback Button">
          <a:extLst>
            <a:ext uri="{FF2B5EF4-FFF2-40B4-BE49-F238E27FC236}">
              <a16:creationId xmlns:a16="http://schemas.microsoft.com/office/drawing/2014/main" id="{F1E5C235-2046-4A5C-9220-12CFBED8229A}"/>
            </a:ext>
          </a:extLst>
        </xdr:cNvPr>
        <xdr:cNvSpPr/>
      </xdr:nvSpPr>
      <xdr:spPr>
        <a:xfrm>
          <a:off x="714374" y="9058275"/>
          <a:ext cx="4667251" cy="26670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Feedback</a:t>
          </a:r>
        </a:p>
      </xdr:txBody>
    </xdr:sp>
    <xdr:clientData/>
  </xdr:twoCellAnchor>
  <xdr:twoCellAnchor>
    <xdr:from>
      <xdr:col>1</xdr:col>
      <xdr:colOff>1447800</xdr:colOff>
      <xdr:row>47</xdr:row>
      <xdr:rowOff>0</xdr:rowOff>
    </xdr:from>
    <xdr:to>
      <xdr:col>4</xdr:col>
      <xdr:colOff>38100</xdr:colOff>
      <xdr:row>53</xdr:row>
      <xdr:rowOff>142875</xdr:rowOff>
    </xdr:to>
    <xdr:sp macro="" textlink="">
      <xdr:nvSpPr>
        <xdr:cNvPr id="18" name="Feedback Text">
          <a:hlinkClick xmlns:r="http://schemas.openxmlformats.org/officeDocument/2006/relationships" r:id="rId1"/>
          <a:extLst>
            <a:ext uri="{FF2B5EF4-FFF2-40B4-BE49-F238E27FC236}">
              <a16:creationId xmlns:a16="http://schemas.microsoft.com/office/drawing/2014/main" id="{B95E2DA1-AEC0-4BC7-95F7-8EACE0DAE3E0}"/>
            </a:ext>
          </a:extLst>
        </xdr:cNvPr>
        <xdr:cNvSpPr/>
      </xdr:nvSpPr>
      <xdr:spPr>
        <a:xfrm>
          <a:off x="2152650" y="10344150"/>
          <a:ext cx="3257550" cy="1323975"/>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chemeClr val="tx1"/>
              </a:solidFill>
            </a:rPr>
            <a:t>If you would like to leave feedback on your experience of using the tool or if you have any suggestions to help make</a:t>
          </a:r>
          <a:r>
            <a:rPr lang="en-US" sz="1100" baseline="0">
              <a:solidFill>
                <a:schemeClr val="tx1"/>
              </a:solidFill>
            </a:rPr>
            <a:t> the tool even more useful, just click on the link below.</a:t>
          </a:r>
        </a:p>
        <a:p>
          <a:pPr algn="ctr"/>
          <a:endParaRPr lang="en-US" sz="1100" baseline="0">
            <a:solidFill>
              <a:schemeClr val="tx1"/>
            </a:solidFill>
          </a:endParaRPr>
        </a:p>
        <a:p>
          <a:pPr algn="ctr"/>
          <a:r>
            <a:rPr lang="en-US" sz="1100" u="sng" baseline="0">
              <a:solidFill>
                <a:srgbClr val="000080"/>
              </a:solidFill>
            </a:rPr>
            <a:t>Valve Sizing Tool Feedback</a:t>
          </a:r>
        </a:p>
      </xdr:txBody>
    </xdr:sp>
    <xdr:clientData/>
  </xdr:twoCellAnchor>
  <xdr:twoCellAnchor>
    <xdr:from>
      <xdr:col>1</xdr:col>
      <xdr:colOff>0</xdr:colOff>
      <xdr:row>18</xdr:row>
      <xdr:rowOff>19050</xdr:rowOff>
    </xdr:from>
    <xdr:to>
      <xdr:col>1</xdr:col>
      <xdr:colOff>1097280</xdr:colOff>
      <xdr:row>20</xdr:row>
      <xdr:rowOff>3810</xdr:rowOff>
    </xdr:to>
    <xdr:sp macro="[0]!Reset" textlink="">
      <xdr:nvSpPr>
        <xdr:cNvPr id="42" name="Reset Button">
          <a:extLst>
            <a:ext uri="{FF2B5EF4-FFF2-40B4-BE49-F238E27FC236}">
              <a16:creationId xmlns:a16="http://schemas.microsoft.com/office/drawing/2014/main" id="{C87D4CE6-85A8-4F98-A1BF-E38129E80C6A}"/>
            </a:ext>
          </a:extLst>
        </xdr:cNvPr>
        <xdr:cNvSpPr/>
      </xdr:nvSpPr>
      <xdr:spPr>
        <a:xfrm>
          <a:off x="704850" y="4238625"/>
          <a:ext cx="1097280" cy="365760"/>
        </a:xfrm>
        <a:prstGeom prst="roundRect">
          <a:avLst/>
        </a:prstGeom>
        <a:solidFill>
          <a:srgbClr val="E44438"/>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u="none"/>
            <a:t>Reset</a:t>
          </a:r>
        </a:p>
      </xdr:txBody>
    </xdr:sp>
    <xdr:clientData/>
  </xdr:twoCellAnchor>
  <xdr:twoCellAnchor>
    <xdr:from>
      <xdr:col>1</xdr:col>
      <xdr:colOff>1177925</xdr:colOff>
      <xdr:row>18</xdr:row>
      <xdr:rowOff>28575</xdr:rowOff>
    </xdr:from>
    <xdr:to>
      <xdr:col>2</xdr:col>
      <xdr:colOff>408305</xdr:colOff>
      <xdr:row>20</xdr:row>
      <xdr:rowOff>13335</xdr:rowOff>
    </xdr:to>
    <xdr:sp macro="[0]!CalculateCv" textlink="">
      <xdr:nvSpPr>
        <xdr:cNvPr id="12" name="Calculate Button">
          <a:extLst>
            <a:ext uri="{FF2B5EF4-FFF2-40B4-BE49-F238E27FC236}">
              <a16:creationId xmlns:a16="http://schemas.microsoft.com/office/drawing/2014/main" id="{BE7EEED7-3F46-4437-B981-4E78620278AB}"/>
            </a:ext>
          </a:extLst>
        </xdr:cNvPr>
        <xdr:cNvSpPr/>
      </xdr:nvSpPr>
      <xdr:spPr>
        <a:xfrm>
          <a:off x="1882775" y="4248150"/>
          <a:ext cx="1097280" cy="365760"/>
        </a:xfrm>
        <a:prstGeom prst="roundRect">
          <a:avLst/>
        </a:prstGeom>
        <a:solidFill>
          <a:schemeClr val="tx2">
            <a:lumMod val="75000"/>
            <a:lumOff val="2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u="none"/>
            <a:t>Calculate</a:t>
          </a:r>
        </a:p>
      </xdr:txBody>
    </xdr:sp>
    <xdr:clientData/>
  </xdr:twoCellAnchor>
  <mc:AlternateContent xmlns:mc="http://schemas.openxmlformats.org/markup-compatibility/2006">
    <mc:Choice xmlns:a14="http://schemas.microsoft.com/office/drawing/2010/main" Requires="a14">
      <xdr:twoCellAnchor editAs="oneCell">
        <xdr:from>
          <xdr:col>3</xdr:col>
          <xdr:colOff>47625</xdr:colOff>
          <xdr:row>5</xdr:row>
          <xdr:rowOff>9525</xdr:rowOff>
        </xdr:from>
        <xdr:to>
          <xdr:col>3</xdr:col>
          <xdr:colOff>1440180</xdr:colOff>
          <xdr:row>6</xdr:row>
          <xdr:rowOff>76200</xdr:rowOff>
        </xdr:to>
        <xdr:sp macro="" textlink="">
          <xdr:nvSpPr>
            <xdr:cNvPr id="1027" name="f_Application"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xdr:row>
          <xdr:rowOff>200025</xdr:rowOff>
        </xdr:from>
        <xdr:to>
          <xdr:col>3</xdr:col>
          <xdr:colOff>1440180</xdr:colOff>
          <xdr:row>8</xdr:row>
          <xdr:rowOff>38100</xdr:rowOff>
        </xdr:to>
        <xdr:sp macro="" textlink="">
          <xdr:nvSpPr>
            <xdr:cNvPr id="1029" name="f_CTRL"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11</xdr:row>
          <xdr:rowOff>9525</xdr:rowOff>
        </xdr:from>
        <xdr:to>
          <xdr:col>3</xdr:col>
          <xdr:colOff>1181100</xdr:colOff>
          <xdr:row>11</xdr:row>
          <xdr:rowOff>228600</xdr:rowOff>
        </xdr:to>
        <xdr:sp macro="" textlink="">
          <xdr:nvSpPr>
            <xdr:cNvPr id="1030" name="f_FlowRate"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xdr:row>
          <xdr:rowOff>19050</xdr:rowOff>
        </xdr:from>
        <xdr:to>
          <xdr:col>3</xdr:col>
          <xdr:colOff>1177290</xdr:colOff>
          <xdr:row>15</xdr:row>
          <xdr:rowOff>0</xdr:rowOff>
        </xdr:to>
        <xdr:sp macro="" textlink="">
          <xdr:nvSpPr>
            <xdr:cNvPr id="1031" name="f_AP"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4</xdr:col>
      <xdr:colOff>447675</xdr:colOff>
      <xdr:row>11</xdr:row>
      <xdr:rowOff>228600</xdr:rowOff>
    </xdr:from>
    <xdr:to>
      <xdr:col>8</xdr:col>
      <xdr:colOff>276225</xdr:colOff>
      <xdr:row>16</xdr:row>
      <xdr:rowOff>180975</xdr:rowOff>
    </xdr:to>
    <xdr:sp macro="" textlink="">
      <xdr:nvSpPr>
        <xdr:cNvPr id="36" name="AP_MSG" hidden="1">
          <a:extLst>
            <a:ext uri="{FF2B5EF4-FFF2-40B4-BE49-F238E27FC236}">
              <a16:creationId xmlns:a16="http://schemas.microsoft.com/office/drawing/2014/main" id="{8AFEB7A5-1D03-4FD0-BA97-FA980AB17C59}"/>
            </a:ext>
          </a:extLst>
        </xdr:cNvPr>
        <xdr:cNvSpPr/>
      </xdr:nvSpPr>
      <xdr:spPr bwMode="auto">
        <a:xfrm>
          <a:off x="5819775" y="2981325"/>
          <a:ext cx="3505200" cy="110490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Atmospheric Pressure  [AP] Notes:</a:t>
          </a:r>
        </a:p>
        <a:p>
          <a:pPr algn="ctr"/>
          <a:endParaRPr lang="en-US" sz="1100" b="1" u="sng">
            <a:solidFill>
              <a:schemeClr val="tx2"/>
            </a:solidFill>
          </a:endParaRPr>
        </a:p>
        <a:p>
          <a:pPr algn="ctr"/>
          <a:r>
            <a:rPr lang="en-US" sz="1100" b="1">
              <a:solidFill>
                <a:schemeClr val="tx2"/>
              </a:solidFill>
            </a:rPr>
            <a:t>Use the Drop Down to  select</a:t>
          </a:r>
          <a:r>
            <a:rPr lang="en-US" sz="1100" b="1" baseline="0">
              <a:solidFill>
                <a:schemeClr val="tx2"/>
              </a:solidFill>
            </a:rPr>
            <a:t> the Region you are in</a:t>
          </a:r>
          <a:r>
            <a:rPr lang="en-US" sz="1100" b="1" baseline="0">
              <a:solidFill>
                <a:schemeClr val="bg1"/>
              </a:solidFill>
            </a:rPr>
            <a:t>.</a:t>
          </a:r>
        </a:p>
        <a:p>
          <a:pPr algn="ctr"/>
          <a:endParaRPr lang="en-US" sz="1100" b="1" baseline="0">
            <a:solidFill>
              <a:schemeClr val="bg1"/>
            </a:solidFill>
          </a:endParaRPr>
        </a:p>
        <a:p>
          <a:pPr algn="ctr"/>
          <a:r>
            <a:rPr lang="en-US" b="1">
              <a:solidFill>
                <a:schemeClr val="bg1"/>
              </a:solidFill>
            </a:rPr>
            <a:t>The default value is 14.7 </a:t>
          </a:r>
          <a:r>
            <a:rPr lang="en-US" sz="1100" b="1">
              <a:solidFill>
                <a:schemeClr val="bg1"/>
              </a:solidFill>
            </a:rPr>
            <a:t> </a:t>
          </a:r>
        </a:p>
      </xdr:txBody>
    </xdr:sp>
    <xdr:clientData/>
  </xdr:twoCellAnchor>
  <xdr:twoCellAnchor>
    <xdr:from>
      <xdr:col>5</xdr:col>
      <xdr:colOff>26669</xdr:colOff>
      <xdr:row>4</xdr:row>
      <xdr:rowOff>140970</xdr:rowOff>
    </xdr:from>
    <xdr:to>
      <xdr:col>10</xdr:col>
      <xdr:colOff>293369</xdr:colOff>
      <xdr:row>16</xdr:row>
      <xdr:rowOff>33867</xdr:rowOff>
    </xdr:to>
    <xdr:sp macro="" textlink="">
      <xdr:nvSpPr>
        <xdr:cNvPr id="32" name="PO_MSG" hidden="1">
          <a:extLst>
            <a:ext uri="{FF2B5EF4-FFF2-40B4-BE49-F238E27FC236}">
              <a16:creationId xmlns:a16="http://schemas.microsoft.com/office/drawing/2014/main" id="{5948D870-8897-4105-AEF0-5BE20154AC94}"/>
            </a:ext>
          </a:extLst>
        </xdr:cNvPr>
        <xdr:cNvSpPr/>
      </xdr:nvSpPr>
      <xdr:spPr bwMode="auto">
        <a:xfrm>
          <a:off x="5885602" y="1419437"/>
          <a:ext cx="5202767" cy="244983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Outlet Pressure [PO]  Notes:</a:t>
          </a:r>
        </a:p>
        <a:p>
          <a:pPr algn="ctr"/>
          <a:endParaRPr lang="en-US" sz="1100" b="1" u="sng">
            <a:solidFill>
              <a:schemeClr val="tx2"/>
            </a:solidFill>
          </a:endParaRPr>
        </a:p>
        <a:p>
          <a:pPr algn="ctr"/>
          <a:r>
            <a:rPr lang="en-US" sz="1100" b="1" u="sng">
              <a:solidFill>
                <a:schemeClr val="tx2"/>
              </a:solidFill>
            </a:rPr>
            <a:t>Use the Drop Down List to Select    </a:t>
          </a:r>
          <a:r>
            <a:rPr lang="en-US" sz="1100" b="1" u="sng">
              <a:solidFill>
                <a:srgbClr val="FF0000"/>
              </a:solidFill>
            </a:rPr>
            <a:t>PSIG</a:t>
          </a:r>
          <a:r>
            <a:rPr lang="en-US" sz="1100" b="1" u="sng">
              <a:solidFill>
                <a:schemeClr val="tx2"/>
              </a:solidFill>
            </a:rPr>
            <a:t>    </a:t>
          </a:r>
          <a:r>
            <a:rPr lang="en-US" sz="1100" b="1" u="sng">
              <a:solidFill>
                <a:srgbClr val="FF0000"/>
              </a:solidFill>
            </a:rPr>
            <a:t>Percentage</a:t>
          </a:r>
          <a:r>
            <a:rPr lang="en-US" sz="1100" b="1" u="sng">
              <a:solidFill>
                <a:schemeClr val="tx2"/>
              </a:solidFill>
            </a:rPr>
            <a:t>  or    </a:t>
          </a:r>
          <a:r>
            <a:rPr lang="en-US" sz="1100" b="1" u="sng">
              <a:solidFill>
                <a:srgbClr val="FF0000"/>
              </a:solidFill>
            </a:rPr>
            <a:t>Critical</a:t>
          </a:r>
          <a:r>
            <a:rPr lang="en-US" sz="1100" b="1" u="sng">
              <a:solidFill>
                <a:schemeClr val="tx2"/>
              </a:solidFill>
            </a:rPr>
            <a:t>.</a:t>
          </a:r>
        </a:p>
        <a:p>
          <a:pPr algn="ctr"/>
          <a:endParaRPr lang="en-US" sz="1100" b="1" u="sng">
            <a:solidFill>
              <a:schemeClr val="tx2"/>
            </a:solidFill>
          </a:endParaRPr>
        </a:p>
        <a:p>
          <a:pPr algn="ctr"/>
          <a:r>
            <a:rPr lang="en-US" sz="1200" b="1" u="none">
              <a:solidFill>
                <a:schemeClr val="bg1"/>
              </a:solidFill>
            </a:rPr>
            <a:t>Enter the design inlet pressure to what ever the device is that you are controlling.</a:t>
          </a:r>
        </a:p>
        <a:p>
          <a:pPr algn="ctr"/>
          <a:endParaRPr lang="en-US" sz="1100" b="0" u="sng">
            <a:solidFill>
              <a:schemeClr val="bg1"/>
            </a:solidFill>
          </a:endParaRPr>
        </a:p>
        <a:p>
          <a:pPr algn="ctr" rtl="0" eaLnBrk="1" latinLnBrk="0" hangingPunct="1"/>
          <a:r>
            <a:rPr lang="en-US" sz="1200" b="1">
              <a:effectLst/>
              <a:latin typeface="+mn-lt"/>
              <a:ea typeface="+mn-ea"/>
              <a:cs typeface="+mn-cs"/>
            </a:rPr>
            <a:t>If the Outlet Pressure is UN-Known,</a:t>
          </a:r>
          <a:r>
            <a:rPr lang="en-US" sz="1200" b="1" baseline="0">
              <a:effectLst/>
              <a:latin typeface="+mn-lt"/>
              <a:ea typeface="+mn-ea"/>
              <a:cs typeface="+mn-cs"/>
            </a:rPr>
            <a:t> Select Percentage, then you can enter</a:t>
          </a:r>
        </a:p>
        <a:p>
          <a:pPr algn="ctr" rtl="0" eaLnBrk="1" latinLnBrk="0" hangingPunct="1"/>
          <a:r>
            <a:rPr lang="en-US" sz="1200" b="1" baseline="0">
              <a:effectLst/>
              <a:latin typeface="+mn-lt"/>
              <a:ea typeface="+mn-ea"/>
              <a:cs typeface="+mn-cs"/>
            </a:rPr>
            <a:t>10, 80, or 42 to </a:t>
          </a:r>
          <a:r>
            <a:rPr lang="en-US" sz="1100" b="1">
              <a:effectLst/>
              <a:latin typeface="+mn-lt"/>
              <a:ea typeface="+mn-ea"/>
              <a:cs typeface="+mn-cs"/>
            </a:rPr>
            <a:t>utilize the 10/80/42 rule.</a:t>
          </a:r>
        </a:p>
        <a:p>
          <a:pPr algn="ctr" rtl="0" eaLnBrk="1" latinLnBrk="0" hangingPunct="1"/>
          <a:r>
            <a:rPr lang="en-US" sz="1200" b="1" baseline="0">
              <a:effectLst/>
              <a:latin typeface="+mn-lt"/>
              <a:ea typeface="+mn-ea"/>
              <a:cs typeface="+mn-cs"/>
            </a:rPr>
            <a:t>  </a:t>
          </a:r>
          <a:endParaRPr lang="en-US" sz="1200" b="1">
            <a:effectLst/>
            <a:latin typeface="+mn-lt"/>
            <a:ea typeface="+mn-ea"/>
            <a:cs typeface="+mn-cs"/>
          </a:endParaRPr>
        </a:p>
        <a:p>
          <a:pPr algn="ctr" rtl="0" eaLnBrk="1" latinLnBrk="0" hangingPunct="1"/>
          <a:r>
            <a:rPr lang="en-US" sz="1200" b="1">
              <a:effectLst/>
              <a:latin typeface="+mn-lt"/>
              <a:ea typeface="+mn-ea"/>
              <a:cs typeface="+mn-cs"/>
            </a:rPr>
            <a:t>Critical Pressure Drop can also be used to calculate Cv values.  </a:t>
          </a:r>
          <a:endParaRPr lang="en-US" sz="1200" b="1">
            <a:effectLst/>
          </a:endParaRPr>
        </a:p>
      </xdr:txBody>
    </xdr:sp>
    <xdr:clientData/>
  </xdr:twoCellAnchor>
  <xdr:twoCellAnchor>
    <xdr:from>
      <xdr:col>5</xdr:col>
      <xdr:colOff>9525</xdr:colOff>
      <xdr:row>4</xdr:row>
      <xdr:rowOff>171448</xdr:rowOff>
    </xdr:from>
    <xdr:to>
      <xdr:col>11</xdr:col>
      <xdr:colOff>200025</xdr:colOff>
      <xdr:row>20</xdr:row>
      <xdr:rowOff>74083</xdr:rowOff>
    </xdr:to>
    <xdr:sp macro="" textlink="">
      <xdr:nvSpPr>
        <xdr:cNvPr id="5" name="PI_MSG" hidden="1">
          <a:extLst>
            <a:ext uri="{FF2B5EF4-FFF2-40B4-BE49-F238E27FC236}">
              <a16:creationId xmlns:a16="http://schemas.microsoft.com/office/drawing/2014/main" id="{2DA3EA89-C366-4A2F-B4CC-CE61FCEF0287}"/>
            </a:ext>
          </a:extLst>
        </xdr:cNvPr>
        <xdr:cNvSpPr/>
      </xdr:nvSpPr>
      <xdr:spPr bwMode="auto">
        <a:xfrm>
          <a:off x="5661025" y="1462615"/>
          <a:ext cx="5725583" cy="3246968"/>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Inlet Pressure [PI]  Notes:</a:t>
          </a:r>
        </a:p>
        <a:p>
          <a:pPr algn="ctr"/>
          <a:endParaRPr lang="en-US" sz="1100" b="1" u="sng">
            <a:solidFill>
              <a:schemeClr val="tx2"/>
            </a:solidFill>
          </a:endParaRPr>
        </a:p>
        <a:p>
          <a:pPr algn="ctr"/>
          <a:r>
            <a:rPr lang="en-US" sz="1100">
              <a:solidFill>
                <a:schemeClr val="bg1"/>
              </a:solidFill>
              <a:effectLst/>
              <a:latin typeface="+mn-lt"/>
              <a:ea typeface="+mn-ea"/>
              <a:cs typeface="+mn-cs"/>
            </a:rPr>
            <a:t>This is </a:t>
          </a:r>
          <a:r>
            <a:rPr lang="en-US" sz="1100" i="1">
              <a:solidFill>
                <a:schemeClr val="bg1"/>
              </a:solidFill>
              <a:effectLst/>
              <a:latin typeface="+mn-lt"/>
              <a:ea typeface="+mn-ea"/>
              <a:cs typeface="+mn-cs"/>
            </a:rPr>
            <a:t>NOT</a:t>
          </a:r>
          <a:r>
            <a:rPr lang="en-US" sz="1100">
              <a:solidFill>
                <a:schemeClr val="bg1"/>
              </a:solidFill>
              <a:effectLst/>
              <a:latin typeface="+mn-lt"/>
              <a:ea typeface="+mn-ea"/>
              <a:cs typeface="+mn-cs"/>
            </a:rPr>
            <a:t> the design inlet pressure of what ever the steam valve is controlling</a:t>
          </a:r>
          <a:r>
            <a:rPr lang="en-US" sz="1100" b="1" baseline="0">
              <a:solidFill>
                <a:schemeClr val="bg1"/>
              </a:solidFill>
              <a:effectLst/>
              <a:latin typeface="+mn-lt"/>
              <a:ea typeface="+mn-ea"/>
              <a:cs typeface="+mn-cs"/>
            </a:rPr>
            <a:t>,</a:t>
          </a:r>
        </a:p>
        <a:p>
          <a:pPr algn="ctr"/>
          <a:endParaRPr lang="en-US" sz="1100" b="1" baseline="0">
            <a:solidFill>
              <a:schemeClr val="bg1"/>
            </a:solidFill>
            <a:effectLst/>
            <a:latin typeface="+mn-lt"/>
            <a:ea typeface="+mn-ea"/>
            <a:cs typeface="+mn-cs"/>
          </a:endParaRPr>
        </a:p>
        <a:p>
          <a:pPr algn="ctr"/>
          <a:r>
            <a:rPr lang="en-US" sz="1200" b="1" u="sng" baseline="0">
              <a:solidFill>
                <a:schemeClr val="bg1"/>
              </a:solidFill>
              <a:effectLst/>
              <a:latin typeface="+mn-lt"/>
              <a:ea typeface="+mn-ea"/>
              <a:cs typeface="+mn-cs"/>
            </a:rPr>
            <a:t>it is the actual available inlet pressure to the valve.</a:t>
          </a:r>
        </a:p>
        <a:p>
          <a:pPr algn="ctr"/>
          <a:endParaRPr lang="en-US" sz="1200" b="1" u="sng" baseline="0">
            <a:solidFill>
              <a:schemeClr val="tx2"/>
            </a:solidFill>
            <a:effectLst/>
            <a:latin typeface="+mn-lt"/>
            <a:ea typeface="+mn-ea"/>
            <a:cs typeface="+mn-cs"/>
          </a:endParaRPr>
        </a:p>
        <a:p>
          <a:pPr algn="l" rtl="0" eaLnBrk="1" latinLnBrk="0" hangingPunct="1"/>
          <a:r>
            <a:rPr lang="en-US" sz="1100" b="1">
              <a:effectLst/>
              <a:latin typeface="+mn-lt"/>
              <a:ea typeface="+mn-ea"/>
              <a:cs typeface="+mn-cs"/>
            </a:rPr>
            <a:t>If the Outlet pressure is </a:t>
          </a:r>
          <a:r>
            <a:rPr lang="en-US" sz="1100" b="1" u="sng">
              <a:effectLst/>
              <a:latin typeface="+mn-lt"/>
              <a:ea typeface="+mn-ea"/>
              <a:cs typeface="+mn-cs"/>
            </a:rPr>
            <a:t>Un-Know,</a:t>
          </a:r>
          <a:r>
            <a:rPr lang="en-US" sz="1100" b="1">
              <a:effectLst/>
              <a:latin typeface="+mn-lt"/>
              <a:ea typeface="+mn-ea"/>
              <a:cs typeface="+mn-cs"/>
            </a:rPr>
            <a:t> you can utilize the 10/80/42 rule to calculate an </a:t>
          </a:r>
        </a:p>
        <a:p>
          <a:pPr algn="l" rtl="0" eaLnBrk="1" latinLnBrk="0" hangingPunct="1"/>
          <a:r>
            <a:rPr lang="en-US" sz="1400" b="1">
              <a:solidFill>
                <a:srgbClr val="FF0000"/>
              </a:solidFill>
              <a:effectLst/>
              <a:latin typeface="+mn-lt"/>
              <a:ea typeface="+mn-ea"/>
              <a:cs typeface="+mn-cs"/>
            </a:rPr>
            <a:t>Reversed Assumed</a:t>
          </a:r>
          <a:r>
            <a:rPr lang="en-US" sz="1400" b="1">
              <a:effectLst/>
              <a:latin typeface="+mn-lt"/>
              <a:ea typeface="+mn-ea"/>
              <a:cs typeface="+mn-cs"/>
            </a:rPr>
            <a:t> </a:t>
          </a:r>
          <a:r>
            <a:rPr lang="en-US" sz="1100" b="1">
              <a:effectLst/>
              <a:latin typeface="+mn-lt"/>
              <a:ea typeface="+mn-ea"/>
              <a:cs typeface="+mn-cs"/>
            </a:rPr>
            <a:t>Inlet Perssure which is based on an Un-Known Outlet Pressure Formula:</a:t>
          </a:r>
        </a:p>
        <a:p>
          <a:pPr algn="l" rtl="0" eaLnBrk="1" latinLnBrk="0" hangingPunct="1"/>
          <a:endParaRPr lang="en-US" sz="1200">
            <a:effectLst/>
          </a:endParaRPr>
        </a:p>
        <a:p>
          <a:pPr algn="l" rtl="0" eaLnBrk="1" latinLnBrk="0" hangingPunct="1"/>
          <a:r>
            <a:rPr lang="en-US" sz="1100" b="1">
              <a:effectLst/>
              <a:latin typeface="+mn-lt"/>
              <a:ea typeface="+mn-ea"/>
              <a:cs typeface="+mn-cs"/>
            </a:rPr>
            <a:t>10% of the Inlet pressure for On/Off.</a:t>
          </a:r>
          <a:endParaRPr lang="en-US" sz="1200">
            <a:effectLst/>
          </a:endParaRPr>
        </a:p>
        <a:p>
          <a:pPr algn="l" rtl="0" eaLnBrk="1" latinLnBrk="0" hangingPunct="1"/>
          <a:r>
            <a:rPr lang="en-US" sz="1100" b="1">
              <a:effectLst/>
              <a:latin typeface="+mn-lt"/>
              <a:ea typeface="+mn-ea"/>
              <a:cs typeface="+mn-cs"/>
            </a:rPr>
            <a:t>80% of the Inlet Pressure for Modulating Low Pressure Steam.</a:t>
          </a:r>
          <a:endParaRPr lang="en-US" sz="1200">
            <a:effectLst/>
          </a:endParaRPr>
        </a:p>
        <a:p>
          <a:pPr algn="l" rtl="0" eaLnBrk="1" latinLnBrk="0" hangingPunct="1"/>
          <a:r>
            <a:rPr lang="en-US" sz="1100" b="1">
              <a:effectLst/>
              <a:latin typeface="+mn-lt"/>
              <a:ea typeface="+mn-ea"/>
              <a:cs typeface="+mn-cs"/>
            </a:rPr>
            <a:t>42% of the inlet pressure for Modulating Medium to High Pressure Steam.</a:t>
          </a:r>
        </a:p>
        <a:p>
          <a:pPr algn="l" rtl="0" eaLnBrk="1" latinLnBrk="0" hangingPunct="1"/>
          <a:endParaRPr lang="en-US" sz="1100" b="1">
            <a:effectLst/>
            <a:latin typeface="+mn-lt"/>
            <a:ea typeface="+mn-ea"/>
            <a:cs typeface="+mn-cs"/>
          </a:endParaRPr>
        </a:p>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u="sng" baseline="0">
              <a:effectLst/>
              <a:latin typeface="+mn-lt"/>
              <a:ea typeface="+mn-ea"/>
              <a:cs typeface="+mn-cs"/>
            </a:rPr>
            <a:t>If this value is Un-Known</a:t>
          </a:r>
          <a:r>
            <a:rPr lang="en-US" sz="1400" b="0" u="sng" baseline="0">
              <a:effectLst/>
              <a:latin typeface="+mn-lt"/>
              <a:ea typeface="+mn-ea"/>
              <a:cs typeface="+mn-cs"/>
            </a:rPr>
            <a:t>, </a:t>
          </a:r>
          <a:r>
            <a:rPr lang="en-US" sz="1400" b="1" u="sng" baseline="0">
              <a:solidFill>
                <a:srgbClr val="FF0000"/>
              </a:solidFill>
              <a:effectLst/>
              <a:latin typeface="+mn-lt"/>
              <a:ea typeface="+mn-ea"/>
              <a:cs typeface="+mn-cs"/>
            </a:rPr>
            <a:t>Input 0 </a:t>
          </a:r>
          <a:r>
            <a:rPr lang="en-US" sz="1400" b="1" u="sng" baseline="0">
              <a:effectLst/>
              <a:latin typeface="+mn-lt"/>
              <a:ea typeface="+mn-ea"/>
              <a:cs typeface="+mn-cs"/>
            </a:rPr>
            <a:t>to calculate </a:t>
          </a:r>
          <a:r>
            <a:rPr lang="en-US" sz="1400" b="0" u="sng" baseline="0">
              <a:solidFill>
                <a:srgbClr val="FF0000"/>
              </a:solidFill>
              <a:effectLst/>
              <a:latin typeface="+mn-lt"/>
              <a:ea typeface="+mn-ea"/>
              <a:cs typeface="+mn-cs"/>
            </a:rPr>
            <a:t>a Basic Pressure</a:t>
          </a:r>
          <a:r>
            <a:rPr lang="en-US" sz="1400" b="0" u="sng" baseline="0">
              <a:effectLst/>
              <a:latin typeface="+mn-lt"/>
              <a:ea typeface="+mn-ea"/>
              <a:cs typeface="+mn-cs"/>
            </a:rPr>
            <a:t>.</a:t>
          </a:r>
          <a:endParaRPr lang="en-US" sz="1600" b="0">
            <a:effectLst/>
          </a:endParaRPr>
        </a:p>
        <a:p>
          <a:pPr algn="l" rtl="0" eaLnBrk="1" latinLnBrk="0" hangingPunct="1"/>
          <a:endParaRPr lang="en-US" sz="1200">
            <a:effectLst/>
          </a:endParaRPr>
        </a:p>
        <a:p>
          <a:pPr algn="ctr"/>
          <a:endParaRPr lang="en-US" sz="1200" b="1" u="sng">
            <a:solidFill>
              <a:schemeClr val="tx2"/>
            </a:solidFill>
          </a:endParaRPr>
        </a:p>
      </xdr:txBody>
    </xdr:sp>
    <xdr:clientData/>
  </xdr:twoCellAnchor>
  <xdr:twoCellAnchor>
    <xdr:from>
      <xdr:col>4</xdr:col>
      <xdr:colOff>438150</xdr:colOff>
      <xdr:row>11</xdr:row>
      <xdr:rowOff>9524</xdr:rowOff>
    </xdr:from>
    <xdr:to>
      <xdr:col>8</xdr:col>
      <xdr:colOff>295275</xdr:colOff>
      <xdr:row>16</xdr:row>
      <xdr:rowOff>85724</xdr:rowOff>
    </xdr:to>
    <xdr:sp macro="" textlink="">
      <xdr:nvSpPr>
        <xdr:cNvPr id="2" name="Q_MSG" hidden="1">
          <a:extLst>
            <a:ext uri="{FF2B5EF4-FFF2-40B4-BE49-F238E27FC236}">
              <a16:creationId xmlns:a16="http://schemas.microsoft.com/office/drawing/2014/main" id="{97E23196-59F1-4CDE-9207-983171EA9E72}"/>
            </a:ext>
          </a:extLst>
        </xdr:cNvPr>
        <xdr:cNvSpPr/>
      </xdr:nvSpPr>
      <xdr:spPr bwMode="auto">
        <a:xfrm>
          <a:off x="5810250" y="2762249"/>
          <a:ext cx="3533775" cy="12287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Flow Rate [Q] Notes:</a:t>
          </a:r>
        </a:p>
        <a:p>
          <a:pPr algn="ctr"/>
          <a:endParaRPr lang="en-US" sz="1100" b="1" u="sng">
            <a:solidFill>
              <a:schemeClr val="tx2"/>
            </a:solidFill>
          </a:endParaRPr>
        </a:p>
        <a:p>
          <a:pPr algn="ctr"/>
          <a:r>
            <a:rPr lang="en-US" sz="1100" b="1" u="sng">
              <a:solidFill>
                <a:schemeClr val="tx2"/>
              </a:solidFill>
            </a:rPr>
            <a:t>Use the Drop Down list to select your Flow Rate</a:t>
          </a:r>
        </a:p>
        <a:p>
          <a:pPr algn="ctr"/>
          <a:endParaRPr lang="en-US" sz="1100" b="1" u="sng">
            <a:solidFill>
              <a:schemeClr val="tx2"/>
            </a:solidFill>
          </a:endParaRPr>
        </a:p>
        <a:p>
          <a:pPr algn="ctr"/>
          <a:r>
            <a:rPr lang="en-US" sz="1100" b="1">
              <a:solidFill>
                <a:schemeClr val="bg1"/>
              </a:solidFill>
            </a:rPr>
            <a:t>Values entered here will be converted to Lbs/Hr</a:t>
          </a:r>
          <a:r>
            <a:rPr lang="en-US" sz="1100" b="1" baseline="0">
              <a:solidFill>
                <a:schemeClr val="bg1"/>
              </a:solidFill>
            </a:rPr>
            <a:t>.</a:t>
          </a:r>
          <a:endParaRPr lang="en-US" sz="1100" b="1">
            <a:solidFill>
              <a:schemeClr val="bg1"/>
            </a:solidFill>
          </a:endParaRPr>
        </a:p>
      </xdr:txBody>
    </xdr:sp>
    <xdr:clientData/>
  </xdr:twoCellAnchor>
  <xdr:twoCellAnchor>
    <xdr:from>
      <xdr:col>3</xdr:col>
      <xdr:colOff>1509713</xdr:colOff>
      <xdr:row>14</xdr:row>
      <xdr:rowOff>85725</xdr:rowOff>
    </xdr:from>
    <xdr:to>
      <xdr:col>3</xdr:col>
      <xdr:colOff>1670224</xdr:colOff>
      <xdr:row>14</xdr:row>
      <xdr:rowOff>222885</xdr:rowOff>
    </xdr:to>
    <xdr:sp macro="[0]!ToggleAP_MSG" textlink="">
      <xdr:nvSpPr>
        <xdr:cNvPr id="38" name="?_AP_MSG">
          <a:extLst>
            <a:ext uri="{FF2B5EF4-FFF2-40B4-BE49-F238E27FC236}">
              <a16:creationId xmlns:a16="http://schemas.microsoft.com/office/drawing/2014/main" id="{FE1D5521-3480-4CB5-A06B-CC5E5A5C141B}"/>
            </a:ext>
          </a:extLst>
        </xdr:cNvPr>
        <xdr:cNvSpPr>
          <a:spLocks noChangeAspect="1"/>
        </xdr:cNvSpPr>
      </xdr:nvSpPr>
      <xdr:spPr>
        <a:xfrm>
          <a:off x="5024438" y="3552825"/>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1509713</xdr:colOff>
      <xdr:row>13</xdr:row>
      <xdr:rowOff>66675</xdr:rowOff>
    </xdr:from>
    <xdr:to>
      <xdr:col>3</xdr:col>
      <xdr:colOff>1670224</xdr:colOff>
      <xdr:row>13</xdr:row>
      <xdr:rowOff>203835</xdr:rowOff>
    </xdr:to>
    <xdr:sp macro="[0]!TogglePO_MSG" textlink="">
      <xdr:nvSpPr>
        <xdr:cNvPr id="39" name="?_PO_MSG">
          <a:extLst>
            <a:ext uri="{FF2B5EF4-FFF2-40B4-BE49-F238E27FC236}">
              <a16:creationId xmlns:a16="http://schemas.microsoft.com/office/drawing/2014/main" id="{95A2B59F-EA55-444E-AD5A-9B545C8BFEE2}"/>
            </a:ext>
          </a:extLst>
        </xdr:cNvPr>
        <xdr:cNvSpPr>
          <a:spLocks noChangeAspect="1"/>
        </xdr:cNvSpPr>
      </xdr:nvSpPr>
      <xdr:spPr>
        <a:xfrm>
          <a:off x="5024438" y="3295650"/>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1514475</xdr:colOff>
      <xdr:row>12</xdr:row>
      <xdr:rowOff>85725</xdr:rowOff>
    </xdr:from>
    <xdr:to>
      <xdr:col>3</xdr:col>
      <xdr:colOff>1674986</xdr:colOff>
      <xdr:row>12</xdr:row>
      <xdr:rowOff>222885</xdr:rowOff>
    </xdr:to>
    <xdr:sp macro="[0]!TogglePI_MSG" textlink="">
      <xdr:nvSpPr>
        <xdr:cNvPr id="40" name="?_PI_MSG">
          <a:extLst>
            <a:ext uri="{FF2B5EF4-FFF2-40B4-BE49-F238E27FC236}">
              <a16:creationId xmlns:a16="http://schemas.microsoft.com/office/drawing/2014/main" id="{8945B3E9-34F2-4453-97CD-82255AF75C84}"/>
            </a:ext>
          </a:extLst>
        </xdr:cNvPr>
        <xdr:cNvSpPr>
          <a:spLocks noChangeAspect="1"/>
        </xdr:cNvSpPr>
      </xdr:nvSpPr>
      <xdr:spPr>
        <a:xfrm>
          <a:off x="5029200" y="3076575"/>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1509712</xdr:colOff>
      <xdr:row>11</xdr:row>
      <xdr:rowOff>47625</xdr:rowOff>
    </xdr:from>
    <xdr:to>
      <xdr:col>3</xdr:col>
      <xdr:colOff>1670224</xdr:colOff>
      <xdr:row>11</xdr:row>
      <xdr:rowOff>184785</xdr:rowOff>
    </xdr:to>
    <xdr:sp macro="[0]!ToggleQ_MSG" textlink="">
      <xdr:nvSpPr>
        <xdr:cNvPr id="4" name="?_Q_MSG">
          <a:extLst>
            <a:ext uri="{FF2B5EF4-FFF2-40B4-BE49-F238E27FC236}">
              <a16:creationId xmlns:a16="http://schemas.microsoft.com/office/drawing/2014/main" id="{6188E1D3-0F0A-4A72-8FC2-4115519C21AD}"/>
            </a:ext>
          </a:extLst>
        </xdr:cNvPr>
        <xdr:cNvSpPr>
          <a:spLocks noChangeAspect="1"/>
        </xdr:cNvSpPr>
      </xdr:nvSpPr>
      <xdr:spPr>
        <a:xfrm>
          <a:off x="5024437" y="2800350"/>
          <a:ext cx="160512"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5</xdr:col>
      <xdr:colOff>9525</xdr:colOff>
      <xdr:row>9</xdr:row>
      <xdr:rowOff>133349</xdr:rowOff>
    </xdr:from>
    <xdr:to>
      <xdr:col>7</xdr:col>
      <xdr:colOff>523875</xdr:colOff>
      <xdr:row>14</xdr:row>
      <xdr:rowOff>190500</xdr:rowOff>
    </xdr:to>
    <xdr:sp macro="" textlink="">
      <xdr:nvSpPr>
        <xdr:cNvPr id="44" name="CB_h_CTRL_Modulating" hidden="1">
          <a:extLst>
            <a:ext uri="{FF2B5EF4-FFF2-40B4-BE49-F238E27FC236}">
              <a16:creationId xmlns:a16="http://schemas.microsoft.com/office/drawing/2014/main" id="{DA9DFF99-1A1F-4CC7-855E-278D65B7C9C5}"/>
            </a:ext>
          </a:extLst>
        </xdr:cNvPr>
        <xdr:cNvSpPr/>
      </xdr:nvSpPr>
      <xdr:spPr bwMode="auto">
        <a:xfrm>
          <a:off x="5848350" y="2495549"/>
          <a:ext cx="2771775" cy="1162051"/>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rtl="0" eaLnBrk="1" latinLnBrk="0" hangingPunct="1"/>
          <a:r>
            <a:rPr lang="en-US" sz="1100" b="1" u="sng">
              <a:solidFill>
                <a:schemeClr val="tx2"/>
              </a:solidFill>
              <a:effectLst/>
              <a:latin typeface="+mn-lt"/>
              <a:ea typeface="+mn-ea"/>
              <a:cs typeface="+mn-cs"/>
            </a:rPr>
            <a:t>Modulating Control [CTRL] Notes:</a:t>
          </a:r>
        </a:p>
        <a:p>
          <a:pPr algn="ctr" rtl="0" eaLnBrk="1" latinLnBrk="0" hangingPunct="1"/>
          <a:endParaRPr lang="en-US" sz="1100">
            <a:solidFill>
              <a:schemeClr val="bg1"/>
            </a:solidFill>
            <a:effectLst/>
            <a:latin typeface="+mn-lt"/>
            <a:ea typeface="+mn-ea"/>
            <a:cs typeface="+mn-cs"/>
          </a:endParaRPr>
        </a:p>
        <a:p>
          <a:pPr algn="ctr" rtl="0" eaLnBrk="1" latinLnBrk="0" hangingPunct="1"/>
          <a:r>
            <a:rPr lang="en-US" sz="1100" b="1">
              <a:solidFill>
                <a:schemeClr val="bg1"/>
              </a:solidFill>
              <a:effectLst/>
              <a:latin typeface="+mn-lt"/>
              <a:ea typeface="+mn-ea"/>
              <a:cs typeface="+mn-cs"/>
            </a:rPr>
            <a:t>Valve size can be reduced, be careful that there are at least 8x lengths of pipe matching the coil inlet size out of the valve.</a:t>
          </a:r>
          <a:endParaRPr lang="en-US" b="1">
            <a:solidFill>
              <a:schemeClr val="bg1"/>
            </a:solidFill>
            <a:effectLst/>
          </a:endParaRPr>
        </a:p>
      </xdr:txBody>
    </xdr:sp>
    <xdr:clientData/>
  </xdr:twoCellAnchor>
  <xdr:twoCellAnchor>
    <xdr:from>
      <xdr:col>5</xdr:col>
      <xdr:colOff>9525</xdr:colOff>
      <xdr:row>9</xdr:row>
      <xdr:rowOff>47625</xdr:rowOff>
    </xdr:from>
    <xdr:to>
      <xdr:col>7</xdr:col>
      <xdr:colOff>523875</xdr:colOff>
      <xdr:row>13</xdr:row>
      <xdr:rowOff>19050</xdr:rowOff>
    </xdr:to>
    <xdr:sp macro="" textlink="">
      <xdr:nvSpPr>
        <xdr:cNvPr id="35" name="CB_h_CTRL_OnOff" hidden="1">
          <a:extLst>
            <a:ext uri="{FF2B5EF4-FFF2-40B4-BE49-F238E27FC236}">
              <a16:creationId xmlns:a16="http://schemas.microsoft.com/office/drawing/2014/main" id="{B369302A-2926-4717-89AA-1CCEC5811DAA}"/>
            </a:ext>
          </a:extLst>
        </xdr:cNvPr>
        <xdr:cNvSpPr/>
      </xdr:nvSpPr>
      <xdr:spPr bwMode="auto">
        <a:xfrm>
          <a:off x="5848350" y="2409825"/>
          <a:ext cx="2771775" cy="83820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On/Off</a:t>
          </a:r>
          <a:r>
            <a:rPr lang="en-US" sz="1100" b="1" u="sng" baseline="0">
              <a:solidFill>
                <a:schemeClr val="tx2"/>
              </a:solidFill>
            </a:rPr>
            <a:t> </a:t>
          </a:r>
          <a:r>
            <a:rPr lang="en-US" sz="1100" b="1" u="sng">
              <a:solidFill>
                <a:schemeClr val="tx2"/>
              </a:solidFill>
            </a:rPr>
            <a:t>Control [CTRL] Notes:</a:t>
          </a:r>
        </a:p>
        <a:p>
          <a:pPr algn="ctr"/>
          <a:endParaRPr lang="en-US" sz="1100" b="1" u="sng">
            <a:solidFill>
              <a:schemeClr val="tx2"/>
            </a:solidFill>
          </a:endParaRPr>
        </a:p>
        <a:p>
          <a:pPr algn="ctr"/>
          <a:r>
            <a:rPr lang="en-US" sz="1100" b="1">
              <a:solidFill>
                <a:schemeClr val="bg1"/>
              </a:solidFill>
            </a:rPr>
            <a:t>On/Off</a:t>
          </a:r>
          <a:r>
            <a:rPr lang="en-US" sz="1100" b="1" baseline="0">
              <a:solidFill>
                <a:schemeClr val="bg1"/>
              </a:solidFill>
            </a:rPr>
            <a:t> Applications are Typically Line Sized.</a:t>
          </a:r>
          <a:endParaRPr lang="en-US" sz="1100" b="1">
            <a:solidFill>
              <a:schemeClr val="bg1"/>
            </a:solidFill>
          </a:endParaRPr>
        </a:p>
      </xdr:txBody>
    </xdr:sp>
    <xdr:clientData/>
  </xdr:twoCellAnchor>
  <xdr:twoCellAnchor>
    <xdr:from>
      <xdr:col>5</xdr:col>
      <xdr:colOff>19050</xdr:colOff>
      <xdr:row>4</xdr:row>
      <xdr:rowOff>95249</xdr:rowOff>
    </xdr:from>
    <xdr:to>
      <xdr:col>7</xdr:col>
      <xdr:colOff>533400</xdr:colOff>
      <xdr:row>11</xdr:row>
      <xdr:rowOff>238124</xdr:rowOff>
    </xdr:to>
    <xdr:sp macro="" textlink="">
      <xdr:nvSpPr>
        <xdr:cNvPr id="3" name="CB_h_APP_Radiator" hidden="1">
          <a:extLst>
            <a:ext uri="{FF2B5EF4-FFF2-40B4-BE49-F238E27FC236}">
              <a16:creationId xmlns:a16="http://schemas.microsoft.com/office/drawing/2014/main" id="{85FE430B-3D22-B3C7-2531-718B9A51483B}"/>
            </a:ext>
          </a:extLst>
        </xdr:cNvPr>
        <xdr:cNvSpPr/>
      </xdr:nvSpPr>
      <xdr:spPr bwMode="auto">
        <a:xfrm>
          <a:off x="5857875" y="1457324"/>
          <a:ext cx="2771775" cy="15335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Application [APP] Notes:</a:t>
          </a:r>
        </a:p>
        <a:p>
          <a:pPr algn="ctr"/>
          <a:endParaRPr lang="en-US" sz="1100" b="1" u="sng">
            <a:solidFill>
              <a:schemeClr val="tx2"/>
            </a:solidFill>
          </a:endParaRPr>
        </a:p>
        <a:p>
          <a:pPr algn="ctr"/>
          <a:r>
            <a:rPr lang="en-US" sz="1100" b="1">
              <a:solidFill>
                <a:schemeClr val="bg1"/>
              </a:solidFill>
            </a:rPr>
            <a:t>When sizing radiators, the </a:t>
          </a:r>
          <a:r>
            <a:rPr lang="en-US" sz="1100" b="1" i="0" u="none" strike="noStrike">
              <a:solidFill>
                <a:schemeClr val="bg1"/>
              </a:solidFill>
              <a:effectLst/>
              <a:latin typeface="+mn-lt"/>
              <a:ea typeface="+mn-ea"/>
              <a:cs typeface="+mn-cs"/>
            </a:rPr>
            <a:t>typical pressure drop is 0.5 to 2.0 PSI.</a:t>
          </a:r>
          <a:r>
            <a:rPr lang="en-US" b="1">
              <a:solidFill>
                <a:schemeClr val="bg1"/>
              </a:solidFill>
            </a:rPr>
            <a:t> </a:t>
          </a:r>
          <a:r>
            <a:rPr lang="en-US" sz="1100" b="1">
              <a:solidFill>
                <a:schemeClr val="bg1"/>
              </a:solidFill>
            </a:rPr>
            <a:t> </a:t>
          </a:r>
        </a:p>
        <a:p>
          <a:pPr algn="ctr"/>
          <a:endParaRPr lang="en-US" sz="1100" b="1">
            <a:solidFill>
              <a:schemeClr val="bg1"/>
            </a:solidFill>
          </a:endParaRPr>
        </a:p>
        <a:p>
          <a:pPr algn="ctr"/>
          <a:r>
            <a:rPr lang="en-US" sz="1100" b="1">
              <a:solidFill>
                <a:schemeClr val="bg1"/>
              </a:solidFill>
            </a:rPr>
            <a:t>Determine if they are 1 pipe or 2 pipe.</a:t>
          </a:r>
        </a:p>
        <a:p>
          <a:pPr algn="ctr"/>
          <a:r>
            <a:rPr lang="en-US" sz="1100" b="1">
              <a:solidFill>
                <a:schemeClr val="bg1"/>
              </a:solidFill>
            </a:rPr>
            <a:t>1 Pipe will always be On/Off Control.</a:t>
          </a:r>
        </a:p>
      </xdr:txBody>
    </xdr:sp>
    <xdr:clientData/>
  </xdr:twoCellAnchor>
  <xdr:twoCellAnchor>
    <xdr:from>
      <xdr:col>5</xdr:col>
      <xdr:colOff>57150</xdr:colOff>
      <xdr:row>18</xdr:row>
      <xdr:rowOff>76200</xdr:rowOff>
    </xdr:from>
    <xdr:to>
      <xdr:col>7</xdr:col>
      <xdr:colOff>142875</xdr:colOff>
      <xdr:row>19</xdr:row>
      <xdr:rowOff>66675</xdr:rowOff>
    </xdr:to>
    <xdr:sp macro="" textlink="">
      <xdr:nvSpPr>
        <xdr:cNvPr id="30" name="h_Step_7" hidden="1">
          <a:extLst>
            <a:ext uri="{FF2B5EF4-FFF2-40B4-BE49-F238E27FC236}">
              <a16:creationId xmlns:a16="http://schemas.microsoft.com/office/drawing/2014/main" id="{2B52BD5A-6AE3-4532-AB21-984B695B5EAE}"/>
            </a:ext>
          </a:extLst>
        </xdr:cNvPr>
        <xdr:cNvSpPr/>
      </xdr:nvSpPr>
      <xdr:spPr>
        <a:xfrm>
          <a:off x="5362575" y="4219575"/>
          <a:ext cx="209550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7:    Click Calculate Button </a:t>
          </a:r>
        </a:p>
      </xdr:txBody>
    </xdr:sp>
    <xdr:clientData/>
  </xdr:twoCellAnchor>
  <xdr:twoCellAnchor>
    <xdr:from>
      <xdr:col>5</xdr:col>
      <xdr:colOff>38100</xdr:colOff>
      <xdr:row>14</xdr:row>
      <xdr:rowOff>57150</xdr:rowOff>
    </xdr:from>
    <xdr:to>
      <xdr:col>7</xdr:col>
      <xdr:colOff>123825</xdr:colOff>
      <xdr:row>15</xdr:row>
      <xdr:rowOff>1905</xdr:rowOff>
    </xdr:to>
    <xdr:sp macro="" textlink="">
      <xdr:nvSpPr>
        <xdr:cNvPr id="29" name="h_Step_6" hidden="1">
          <a:extLst>
            <a:ext uri="{FF2B5EF4-FFF2-40B4-BE49-F238E27FC236}">
              <a16:creationId xmlns:a16="http://schemas.microsoft.com/office/drawing/2014/main" id="{3C238008-0659-46A6-83BE-B20AE76B6BA8}"/>
            </a:ext>
          </a:extLst>
        </xdr:cNvPr>
        <xdr:cNvSpPr/>
      </xdr:nvSpPr>
      <xdr:spPr>
        <a:xfrm>
          <a:off x="5876925" y="3524250"/>
          <a:ext cx="23431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6:     Select State -or-</a:t>
          </a:r>
          <a:r>
            <a:rPr lang="en-US" sz="1100" b="1" baseline="0"/>
            <a:t> Default</a:t>
          </a:r>
          <a:r>
            <a:rPr lang="en-US" sz="1100" b="1"/>
            <a:t> </a:t>
          </a:r>
        </a:p>
      </xdr:txBody>
    </xdr:sp>
    <xdr:clientData/>
  </xdr:twoCellAnchor>
  <xdr:twoCellAnchor>
    <xdr:from>
      <xdr:col>5</xdr:col>
      <xdr:colOff>38100</xdr:colOff>
      <xdr:row>13</xdr:row>
      <xdr:rowOff>34290</xdr:rowOff>
    </xdr:from>
    <xdr:to>
      <xdr:col>7</xdr:col>
      <xdr:colOff>123825</xdr:colOff>
      <xdr:row>13</xdr:row>
      <xdr:rowOff>217170</xdr:rowOff>
    </xdr:to>
    <xdr:sp macro="" textlink="">
      <xdr:nvSpPr>
        <xdr:cNvPr id="33" name="h_Step_5" hidden="1">
          <a:extLst>
            <a:ext uri="{FF2B5EF4-FFF2-40B4-BE49-F238E27FC236}">
              <a16:creationId xmlns:a16="http://schemas.microsoft.com/office/drawing/2014/main" id="{B9DE797A-261D-4BAA-A85A-F6D0D006F46E}"/>
            </a:ext>
          </a:extLst>
        </xdr:cNvPr>
        <xdr:cNvSpPr/>
      </xdr:nvSpPr>
      <xdr:spPr>
        <a:xfrm>
          <a:off x="5876925" y="3263265"/>
          <a:ext cx="23431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5:     Select Outlet Pressure </a:t>
          </a:r>
        </a:p>
      </xdr:txBody>
    </xdr:sp>
    <xdr:clientData/>
  </xdr:twoCellAnchor>
  <xdr:twoCellAnchor>
    <xdr:from>
      <xdr:col>5</xdr:col>
      <xdr:colOff>38100</xdr:colOff>
      <xdr:row>12</xdr:row>
      <xdr:rowOff>11430</xdr:rowOff>
    </xdr:from>
    <xdr:to>
      <xdr:col>7</xdr:col>
      <xdr:colOff>131445</xdr:colOff>
      <xdr:row>12</xdr:row>
      <xdr:rowOff>194310</xdr:rowOff>
    </xdr:to>
    <xdr:sp macro="" textlink="">
      <xdr:nvSpPr>
        <xdr:cNvPr id="31" name="h_Step_4" hidden="1">
          <a:extLst>
            <a:ext uri="{FF2B5EF4-FFF2-40B4-BE49-F238E27FC236}">
              <a16:creationId xmlns:a16="http://schemas.microsoft.com/office/drawing/2014/main" id="{1833A482-2480-42ED-A203-F2513900A2D9}"/>
            </a:ext>
          </a:extLst>
        </xdr:cNvPr>
        <xdr:cNvSpPr/>
      </xdr:nvSpPr>
      <xdr:spPr>
        <a:xfrm>
          <a:off x="5876925" y="3002280"/>
          <a:ext cx="235077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4:     Select Inlet  Pressure </a:t>
          </a:r>
        </a:p>
      </xdr:txBody>
    </xdr:sp>
    <xdr:clientData/>
  </xdr:twoCellAnchor>
  <xdr:twoCellAnchor>
    <xdr:from>
      <xdr:col>5</xdr:col>
      <xdr:colOff>38100</xdr:colOff>
      <xdr:row>10</xdr:row>
      <xdr:rowOff>180975</xdr:rowOff>
    </xdr:from>
    <xdr:to>
      <xdr:col>7</xdr:col>
      <xdr:colOff>123825</xdr:colOff>
      <xdr:row>11</xdr:row>
      <xdr:rowOff>171450</xdr:rowOff>
    </xdr:to>
    <xdr:sp macro="[0]!ToggleStep3Message" textlink="">
      <xdr:nvSpPr>
        <xdr:cNvPr id="28" name="h_Step_3" hidden="1">
          <a:extLst>
            <a:ext uri="{FF2B5EF4-FFF2-40B4-BE49-F238E27FC236}">
              <a16:creationId xmlns:a16="http://schemas.microsoft.com/office/drawing/2014/main" id="{24BC34D5-0076-49D2-AAF0-E72BA858E439}"/>
            </a:ext>
          </a:extLst>
        </xdr:cNvPr>
        <xdr:cNvSpPr/>
      </xdr:nvSpPr>
      <xdr:spPr>
        <a:xfrm>
          <a:off x="5876925" y="2743200"/>
          <a:ext cx="234315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3:     Select Flow Rate &amp; Unit </a:t>
          </a:r>
        </a:p>
      </xdr:txBody>
    </xdr:sp>
    <xdr:clientData/>
  </xdr:twoCellAnchor>
  <xdr:twoCellAnchor>
    <xdr:from>
      <xdr:col>5</xdr:col>
      <xdr:colOff>38100</xdr:colOff>
      <xdr:row>7</xdr:row>
      <xdr:rowOff>19050</xdr:rowOff>
    </xdr:from>
    <xdr:to>
      <xdr:col>7</xdr:col>
      <xdr:colOff>123825</xdr:colOff>
      <xdr:row>8</xdr:row>
      <xdr:rowOff>9525</xdr:rowOff>
    </xdr:to>
    <xdr:sp macro="" textlink="">
      <xdr:nvSpPr>
        <xdr:cNvPr id="27" name="h_Step_2" hidden="1">
          <a:extLst>
            <a:ext uri="{FF2B5EF4-FFF2-40B4-BE49-F238E27FC236}">
              <a16:creationId xmlns:a16="http://schemas.microsoft.com/office/drawing/2014/main" id="{3DF835E9-6947-48C4-ABED-DA228E23E473}"/>
            </a:ext>
          </a:extLst>
        </xdr:cNvPr>
        <xdr:cNvSpPr/>
      </xdr:nvSpPr>
      <xdr:spPr>
        <a:xfrm>
          <a:off x="5343525" y="1990725"/>
          <a:ext cx="209550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2:     Select Control Mode </a:t>
          </a:r>
        </a:p>
      </xdr:txBody>
    </xdr:sp>
    <xdr:clientData/>
  </xdr:twoCellAnchor>
  <xdr:twoCellAnchor>
    <xdr:from>
      <xdr:col>5</xdr:col>
      <xdr:colOff>38100</xdr:colOff>
      <xdr:row>4</xdr:row>
      <xdr:rowOff>180975</xdr:rowOff>
    </xdr:from>
    <xdr:to>
      <xdr:col>7</xdr:col>
      <xdr:colOff>95250</xdr:colOff>
      <xdr:row>5</xdr:row>
      <xdr:rowOff>180975</xdr:rowOff>
    </xdr:to>
    <xdr:sp macro="" textlink="">
      <xdr:nvSpPr>
        <xdr:cNvPr id="21" name="h_Step_1" hidden="1">
          <a:extLst>
            <a:ext uri="{FF2B5EF4-FFF2-40B4-BE49-F238E27FC236}">
              <a16:creationId xmlns:a16="http://schemas.microsoft.com/office/drawing/2014/main" id="{1CA8931B-B6FB-4047-A41C-DE71A9E22EDA}"/>
            </a:ext>
          </a:extLst>
        </xdr:cNvPr>
        <xdr:cNvSpPr/>
      </xdr:nvSpPr>
      <xdr:spPr>
        <a:xfrm>
          <a:off x="5343525" y="1543050"/>
          <a:ext cx="2066925" cy="19050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1:     Select the Application </a:t>
          </a:r>
        </a:p>
      </xdr:txBody>
    </xdr:sp>
    <xdr:clientData/>
  </xdr:twoCellAnchor>
  <xdr:twoCellAnchor>
    <xdr:from>
      <xdr:col>5</xdr:col>
      <xdr:colOff>19050</xdr:colOff>
      <xdr:row>2</xdr:row>
      <xdr:rowOff>190500</xdr:rowOff>
    </xdr:from>
    <xdr:to>
      <xdr:col>7</xdr:col>
      <xdr:colOff>76200</xdr:colOff>
      <xdr:row>3</xdr:row>
      <xdr:rowOff>180975</xdr:rowOff>
    </xdr:to>
    <xdr:sp macro="[0]!ShowHideSteps" textlink="">
      <xdr:nvSpPr>
        <xdr:cNvPr id="34" name="h_ShowHide">
          <a:extLst>
            <a:ext uri="{FF2B5EF4-FFF2-40B4-BE49-F238E27FC236}">
              <a16:creationId xmlns:a16="http://schemas.microsoft.com/office/drawing/2014/main" id="{9B7ACEB6-62D5-43B5-8C6B-20CE48B34320}"/>
            </a:ext>
          </a:extLst>
        </xdr:cNvPr>
        <xdr:cNvSpPr/>
      </xdr:nvSpPr>
      <xdr:spPr>
        <a:xfrm>
          <a:off x="5324475" y="1152525"/>
          <a:ext cx="2066925" cy="19050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t>Show / Hide Steps</a:t>
          </a:r>
        </a:p>
      </xdr:txBody>
    </xdr:sp>
    <xdr:clientData/>
  </xdr:twoCellAnchor>
  <xdr:twoCellAnchor>
    <xdr:from>
      <xdr:col>0</xdr:col>
      <xdr:colOff>342900</xdr:colOff>
      <xdr:row>0</xdr:row>
      <xdr:rowOff>211455</xdr:rowOff>
    </xdr:from>
    <xdr:to>
      <xdr:col>9</xdr:col>
      <xdr:colOff>434340</xdr:colOff>
      <xdr:row>1</xdr:row>
      <xdr:rowOff>599652</xdr:rowOff>
    </xdr:to>
    <xdr:sp macro="" textlink="">
      <xdr:nvSpPr>
        <xdr:cNvPr id="6" name="Header">
          <a:extLst>
            <a:ext uri="{FF2B5EF4-FFF2-40B4-BE49-F238E27FC236}">
              <a16:creationId xmlns:a16="http://schemas.microsoft.com/office/drawing/2014/main" id="{C321F676-F8E6-4C05-A14B-BF1EFCDCC659}"/>
            </a:ext>
          </a:extLst>
        </xdr:cNvPr>
        <xdr:cNvSpPr/>
      </xdr:nvSpPr>
      <xdr:spPr>
        <a:xfrm>
          <a:off x="342900" y="211455"/>
          <a:ext cx="10530840" cy="6015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Belimo Steam Valve Sizing Tool</a:t>
          </a:r>
        </a:p>
      </xdr:txBody>
    </xdr:sp>
    <xdr:clientData/>
  </xdr:twoCellAnchor>
  <mc:AlternateContent xmlns:mc="http://schemas.openxmlformats.org/markup-compatibility/2006">
    <mc:Choice xmlns:a14="http://schemas.microsoft.com/office/drawing/2010/main" Requires="a14">
      <xdr:twoCellAnchor editAs="oneCell">
        <xdr:from>
          <xdr:col>3</xdr:col>
          <xdr:colOff>85725</xdr:colOff>
          <xdr:row>13</xdr:row>
          <xdr:rowOff>0</xdr:rowOff>
        </xdr:from>
        <xdr:to>
          <xdr:col>3</xdr:col>
          <xdr:colOff>1181100</xdr:colOff>
          <xdr:row>13</xdr:row>
          <xdr:rowOff>224790</xdr:rowOff>
        </xdr:to>
        <xdr:sp macro="" textlink="">
          <xdr:nvSpPr>
            <xdr:cNvPr id="1032" name="f_PSI"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3</xdr:col>
      <xdr:colOff>85724</xdr:colOff>
      <xdr:row>12</xdr:row>
      <xdr:rowOff>0</xdr:rowOff>
    </xdr:from>
    <xdr:to>
      <xdr:col>3</xdr:col>
      <xdr:colOff>1162049</xdr:colOff>
      <xdr:row>12</xdr:row>
      <xdr:rowOff>228600</xdr:rowOff>
    </xdr:to>
    <xdr:sp macro="" textlink="">
      <xdr:nvSpPr>
        <xdr:cNvPr id="10" name="Rectangle 9">
          <a:extLst>
            <a:ext uri="{FF2B5EF4-FFF2-40B4-BE49-F238E27FC236}">
              <a16:creationId xmlns:a16="http://schemas.microsoft.com/office/drawing/2014/main" id="{D30120C0-D954-1545-B81A-9026A6F0BABE}"/>
            </a:ext>
          </a:extLst>
        </xdr:cNvPr>
        <xdr:cNvSpPr/>
      </xdr:nvSpPr>
      <xdr:spPr bwMode="auto">
        <a:xfrm>
          <a:off x="3600449" y="2990850"/>
          <a:ext cx="1076325" cy="228600"/>
        </a:xfrm>
        <a:prstGeom prst="rect">
          <a:avLst/>
        </a:prstGeom>
        <a:no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lightRig rig="threePt" dir="t"/>
        </a:scene3d>
        <a:sp3d>
          <a:bevelT w="152400" h="50800" prst="softRound"/>
          <a:bevelB w="114300" prst="artDeco"/>
        </a:sp3d>
      </xdr:spPr>
      <xdr:txBody>
        <a:bodyPr vertOverflow="clip" wrap="square" lIns="18288" tIns="0" rIns="0" bIns="0" rtlCol="0" anchor="ctr" upright="1"/>
        <a:lstStyle/>
        <a:p>
          <a:pPr algn="l"/>
          <a:endParaRPr lang="en-US" sz="1100"/>
        </a:p>
      </xdr:txBody>
    </xdr:sp>
    <xdr:clientData/>
  </xdr:twoCellAnchor>
  <xdr:twoCellAnchor>
    <xdr:from>
      <xdr:col>7</xdr:col>
      <xdr:colOff>895350</xdr:colOff>
      <xdr:row>2</xdr:row>
      <xdr:rowOff>161925</xdr:rowOff>
    </xdr:from>
    <xdr:to>
      <xdr:col>9</xdr:col>
      <xdr:colOff>37676</xdr:colOff>
      <xdr:row>4</xdr:row>
      <xdr:rowOff>40851</xdr:rowOff>
    </xdr:to>
    <xdr:sp macro="[0]!CloseTool" textlink="">
      <xdr:nvSpPr>
        <xdr:cNvPr id="14" name="Calculate Button">
          <a:extLst>
            <a:ext uri="{FF2B5EF4-FFF2-40B4-BE49-F238E27FC236}">
              <a16:creationId xmlns:a16="http://schemas.microsoft.com/office/drawing/2014/main" id="{8602A84C-3A38-4498-B941-714261485EE4}"/>
            </a:ext>
          </a:extLst>
        </xdr:cNvPr>
        <xdr:cNvSpPr/>
      </xdr:nvSpPr>
      <xdr:spPr>
        <a:xfrm>
          <a:off x="8991600" y="1123950"/>
          <a:ext cx="1199726" cy="2789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Close Tool</a:t>
          </a:r>
        </a:p>
      </xdr:txBody>
    </xdr:sp>
    <xdr:clientData/>
  </xdr:twoCellAnchor>
  <xdr:twoCellAnchor>
    <xdr:from>
      <xdr:col>3</xdr:col>
      <xdr:colOff>742950</xdr:colOff>
      <xdr:row>18</xdr:row>
      <xdr:rowOff>28575</xdr:rowOff>
    </xdr:from>
    <xdr:to>
      <xdr:col>3</xdr:col>
      <xdr:colOff>1840230</xdr:colOff>
      <xdr:row>20</xdr:row>
      <xdr:rowOff>13335</xdr:rowOff>
    </xdr:to>
    <xdr:sp macro="[0]!AddToSummary_Click" textlink="">
      <xdr:nvSpPr>
        <xdr:cNvPr id="11" name="Calculate Button">
          <a:extLst>
            <a:ext uri="{FF2B5EF4-FFF2-40B4-BE49-F238E27FC236}">
              <a16:creationId xmlns:a16="http://schemas.microsoft.com/office/drawing/2014/main" id="{3E979423-C8D4-4E03-9D72-8CFA9A724A32}"/>
            </a:ext>
          </a:extLst>
        </xdr:cNvPr>
        <xdr:cNvSpPr/>
      </xdr:nvSpPr>
      <xdr:spPr>
        <a:xfrm>
          <a:off x="4257675" y="4248150"/>
          <a:ext cx="1097280" cy="365760"/>
        </a:xfrm>
        <a:prstGeom prst="roundRect">
          <a:avLst/>
        </a:prstGeom>
        <a:solidFill>
          <a:schemeClr val="accent6">
            <a:lumMod val="7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i="0" u="none"/>
            <a:t>Add to Summary</a:t>
          </a:r>
        </a:p>
      </xdr:txBody>
    </xdr:sp>
    <xdr:clientData/>
  </xdr:twoCellAnchor>
  <xdr:twoCellAnchor>
    <xdr:from>
      <xdr:col>6</xdr:col>
      <xdr:colOff>441960</xdr:colOff>
      <xdr:row>44</xdr:row>
      <xdr:rowOff>108585</xdr:rowOff>
    </xdr:from>
    <xdr:to>
      <xdr:col>6</xdr:col>
      <xdr:colOff>1637876</xdr:colOff>
      <xdr:row>45</xdr:row>
      <xdr:rowOff>88476</xdr:rowOff>
    </xdr:to>
    <xdr:sp macro="[0]!CorrectedPressureDrop" textlink="">
      <xdr:nvSpPr>
        <xdr:cNvPr id="8" name="Calculate Button">
          <a:extLst>
            <a:ext uri="{FF2B5EF4-FFF2-40B4-BE49-F238E27FC236}">
              <a16:creationId xmlns:a16="http://schemas.microsoft.com/office/drawing/2014/main" id="{B0859EBF-82B6-41EB-A62F-CCA30699BE73}"/>
            </a:ext>
          </a:extLst>
        </xdr:cNvPr>
        <xdr:cNvSpPr/>
      </xdr:nvSpPr>
      <xdr:spPr>
        <a:xfrm>
          <a:off x="6728460" y="9766935"/>
          <a:ext cx="1195916" cy="275166"/>
        </a:xfrm>
        <a:prstGeom prst="roundRect">
          <a:avLst/>
        </a:prstGeom>
        <a:solidFill>
          <a:schemeClr val="tx2">
            <a:lumMod val="75000"/>
            <a:lumOff val="2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Calculate</a:t>
          </a:r>
        </a:p>
      </xdr:txBody>
    </xdr:sp>
    <xdr:clientData/>
  </xdr:twoCellAnchor>
  <xdr:twoCellAnchor>
    <xdr:from>
      <xdr:col>8</xdr:col>
      <xdr:colOff>851535</xdr:colOff>
      <xdr:row>42</xdr:row>
      <xdr:rowOff>22860</xdr:rowOff>
    </xdr:from>
    <xdr:to>
      <xdr:col>8</xdr:col>
      <xdr:colOff>1008236</xdr:colOff>
      <xdr:row>42</xdr:row>
      <xdr:rowOff>160020</xdr:rowOff>
    </xdr:to>
    <xdr:sp macro="[0]!DisplayCfoMSG" textlink="">
      <xdr:nvSpPr>
        <xdr:cNvPr id="16" name="?_PI_MSG">
          <a:extLst>
            <a:ext uri="{FF2B5EF4-FFF2-40B4-BE49-F238E27FC236}">
              <a16:creationId xmlns:a16="http://schemas.microsoft.com/office/drawing/2014/main" id="{7256788A-E30F-4B5B-BA4F-05673B666E08}"/>
            </a:ext>
          </a:extLst>
        </xdr:cNvPr>
        <xdr:cNvSpPr>
          <a:spLocks noChangeAspect="1"/>
        </xdr:cNvSpPr>
      </xdr:nvSpPr>
      <xdr:spPr>
        <a:xfrm>
          <a:off x="9900285" y="9290685"/>
          <a:ext cx="15670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0</xdr:col>
      <xdr:colOff>685800</xdr:colOff>
      <xdr:row>47</xdr:row>
      <xdr:rowOff>9524</xdr:rowOff>
    </xdr:from>
    <xdr:to>
      <xdr:col>1</xdr:col>
      <xdr:colOff>1323975</xdr:colOff>
      <xdr:row>51</xdr:row>
      <xdr:rowOff>123825</xdr:rowOff>
    </xdr:to>
    <xdr:grpSp>
      <xdr:nvGrpSpPr>
        <xdr:cNvPr id="22" name="Group 21">
          <a:extLst>
            <a:ext uri="{FF2B5EF4-FFF2-40B4-BE49-F238E27FC236}">
              <a16:creationId xmlns:a16="http://schemas.microsoft.com/office/drawing/2014/main" id="{875BA760-E9B6-8577-BD35-D69E9DFC0BBC}"/>
            </a:ext>
          </a:extLst>
        </xdr:cNvPr>
        <xdr:cNvGrpSpPr/>
      </xdr:nvGrpSpPr>
      <xdr:grpSpPr>
        <a:xfrm>
          <a:off x="685800" y="10751607"/>
          <a:ext cx="1347258" cy="897468"/>
          <a:chOff x="685800" y="10372724"/>
          <a:chExt cx="1343025" cy="876301"/>
        </a:xfrm>
      </xdr:grpSpPr>
      <xdr:sp macro="[0]!EmailErrorLog" textlink="">
        <xdr:nvSpPr>
          <xdr:cNvPr id="20" name="Rectangle: Rounded Corners 19">
            <a:extLst>
              <a:ext uri="{FF2B5EF4-FFF2-40B4-BE49-F238E27FC236}">
                <a16:creationId xmlns:a16="http://schemas.microsoft.com/office/drawing/2014/main" id="{7D8912C0-545E-81D3-5650-BB5B6829EB31}"/>
              </a:ext>
            </a:extLst>
          </xdr:cNvPr>
          <xdr:cNvSpPr/>
        </xdr:nvSpPr>
        <xdr:spPr bwMode="auto">
          <a:xfrm>
            <a:off x="685800" y="10372724"/>
            <a:ext cx="1343025" cy="876301"/>
          </a:xfrm>
          <a:prstGeom prst="roundRect">
            <a:avLst/>
          </a:prstGeom>
          <a:noFill/>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ctr"/>
            <a:endParaRPr lang="en-US" sz="1100">
              <a:ln>
                <a:solidFill>
                  <a:schemeClr val="accent1"/>
                </a:solidFill>
              </a:ln>
            </a:endParaRPr>
          </a:p>
          <a:p>
            <a:pPr algn="ctr"/>
            <a:endParaRPr lang="en-US" sz="1100">
              <a:ln>
                <a:solidFill>
                  <a:schemeClr val="accent1"/>
                </a:solidFill>
              </a:ln>
            </a:endParaRPr>
          </a:p>
          <a:p>
            <a:pPr algn="ctr"/>
            <a:endParaRPr lang="en-US" sz="1100">
              <a:ln>
                <a:solidFill>
                  <a:schemeClr val="accent1"/>
                </a:solidFill>
              </a:ln>
            </a:endParaRPr>
          </a:p>
          <a:p>
            <a:pPr algn="ctr"/>
            <a:r>
              <a:rPr lang="en-US" sz="1100">
                <a:ln>
                  <a:solidFill>
                    <a:schemeClr val="accent1"/>
                  </a:solidFill>
                </a:ln>
              </a:rPr>
              <a:t>eMail Support</a:t>
            </a:r>
          </a:p>
        </xdr:txBody>
      </xdr:sp>
      <xdr:pic macro="[0]!EmailErrorLog">
        <xdr:nvPicPr>
          <xdr:cNvPr id="13" name="Picture 12" descr="Email Button Icon">
            <a:extLst>
              <a:ext uri="{FF2B5EF4-FFF2-40B4-BE49-F238E27FC236}">
                <a16:creationId xmlns:a16="http://schemas.microsoft.com/office/drawing/2014/main" id="{06259E0B-62F9-9AEF-C7F1-08D2953710C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76325" y="10401300"/>
            <a:ext cx="548640" cy="5486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5</xdr:col>
      <xdr:colOff>428625</xdr:colOff>
      <xdr:row>47</xdr:row>
      <xdr:rowOff>28575</xdr:rowOff>
    </xdr:from>
    <xdr:to>
      <xdr:col>9</xdr:col>
      <xdr:colOff>28575</xdr:colOff>
      <xdr:row>48</xdr:row>
      <xdr:rowOff>104775</xdr:rowOff>
    </xdr:to>
    <xdr:sp macro="" textlink="">
      <xdr:nvSpPr>
        <xdr:cNvPr id="7" name="Feedback Button">
          <a:extLst>
            <a:ext uri="{FF2B5EF4-FFF2-40B4-BE49-F238E27FC236}">
              <a16:creationId xmlns:a16="http://schemas.microsoft.com/office/drawing/2014/main" id="{4C5B0752-8C40-4E5E-A560-103FC45B5B4A}"/>
            </a:ext>
          </a:extLst>
        </xdr:cNvPr>
        <xdr:cNvSpPr/>
      </xdr:nvSpPr>
      <xdr:spPr>
        <a:xfrm>
          <a:off x="6267450" y="10391775"/>
          <a:ext cx="3914775" cy="26670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Release Information</a:t>
          </a:r>
        </a:p>
      </xdr:txBody>
    </xdr:sp>
    <xdr:clientData/>
  </xdr:twoCellAnchor>
  <xdr:twoCellAnchor>
    <xdr:from>
      <xdr:col>2</xdr:col>
      <xdr:colOff>488950</xdr:colOff>
      <xdr:row>18</xdr:row>
      <xdr:rowOff>28575</xdr:rowOff>
    </xdr:from>
    <xdr:to>
      <xdr:col>3</xdr:col>
      <xdr:colOff>643255</xdr:colOff>
      <xdr:row>20</xdr:row>
      <xdr:rowOff>13335</xdr:rowOff>
    </xdr:to>
    <xdr:sp macro="[0]!ValveLookup" textlink="">
      <xdr:nvSpPr>
        <xdr:cNvPr id="17" name="Calculate Button">
          <a:extLst>
            <a:ext uri="{FF2B5EF4-FFF2-40B4-BE49-F238E27FC236}">
              <a16:creationId xmlns:a16="http://schemas.microsoft.com/office/drawing/2014/main" id="{0927D7C3-3B53-4AF8-83F7-498500CA1E2E}"/>
            </a:ext>
          </a:extLst>
        </xdr:cNvPr>
        <xdr:cNvSpPr/>
      </xdr:nvSpPr>
      <xdr:spPr>
        <a:xfrm>
          <a:off x="3060700" y="4248150"/>
          <a:ext cx="1097280" cy="365760"/>
        </a:xfrm>
        <a:prstGeom prst="roundRect">
          <a:avLst/>
        </a:prstGeom>
        <a:solidFill>
          <a:schemeClr val="bg2">
            <a:lumMod val="50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a:t>Display Cv's</a:t>
          </a:r>
        </a:p>
      </xdr:txBody>
    </xdr:sp>
    <xdr:clientData/>
  </xdr:twoCellAnchor>
  <xdr:twoCellAnchor>
    <xdr:from>
      <xdr:col>8</xdr:col>
      <xdr:colOff>838200</xdr:colOff>
      <xdr:row>37</xdr:row>
      <xdr:rowOff>28575</xdr:rowOff>
    </xdr:from>
    <xdr:to>
      <xdr:col>8</xdr:col>
      <xdr:colOff>994901</xdr:colOff>
      <xdr:row>37</xdr:row>
      <xdr:rowOff>165735</xdr:rowOff>
    </xdr:to>
    <xdr:sp macro="[0]!DisplayCvCMSG" textlink="">
      <xdr:nvSpPr>
        <xdr:cNvPr id="23" name="?_PI_MSG">
          <a:extLst>
            <a:ext uri="{FF2B5EF4-FFF2-40B4-BE49-F238E27FC236}">
              <a16:creationId xmlns:a16="http://schemas.microsoft.com/office/drawing/2014/main" id="{97237D76-FA0A-417D-B3B4-445E0A923AF4}"/>
            </a:ext>
          </a:extLst>
        </xdr:cNvPr>
        <xdr:cNvSpPr>
          <a:spLocks noChangeAspect="1"/>
        </xdr:cNvSpPr>
      </xdr:nvSpPr>
      <xdr:spPr>
        <a:xfrm>
          <a:off x="9886950" y="8334375"/>
          <a:ext cx="15670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4</xdr:col>
      <xdr:colOff>114300</xdr:colOff>
      <xdr:row>33</xdr:row>
      <xdr:rowOff>247650</xdr:rowOff>
    </xdr:from>
    <xdr:to>
      <xdr:col>4</xdr:col>
      <xdr:colOff>271001</xdr:colOff>
      <xdr:row>33</xdr:row>
      <xdr:rowOff>384810</xdr:rowOff>
    </xdr:to>
    <xdr:sp macro="[0]!ToggleCvC_MSG" textlink="">
      <xdr:nvSpPr>
        <xdr:cNvPr id="24" name="?_PI_MSG">
          <a:extLst>
            <a:ext uri="{FF2B5EF4-FFF2-40B4-BE49-F238E27FC236}">
              <a16:creationId xmlns:a16="http://schemas.microsoft.com/office/drawing/2014/main" id="{14FC0F57-A890-4684-91E3-33890F7C7029}"/>
            </a:ext>
          </a:extLst>
        </xdr:cNvPr>
        <xdr:cNvSpPr>
          <a:spLocks noChangeAspect="1"/>
        </xdr:cNvSpPr>
      </xdr:nvSpPr>
      <xdr:spPr>
        <a:xfrm>
          <a:off x="5486400" y="7372350"/>
          <a:ext cx="15670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6</xdr:col>
      <xdr:colOff>3810</xdr:colOff>
      <xdr:row>30</xdr:row>
      <xdr:rowOff>100965</xdr:rowOff>
    </xdr:from>
    <xdr:to>
      <xdr:col>12</xdr:col>
      <xdr:colOff>643890</xdr:colOff>
      <xdr:row>39</xdr:row>
      <xdr:rowOff>89535</xdr:rowOff>
    </xdr:to>
    <xdr:sp macro="" textlink="">
      <xdr:nvSpPr>
        <xdr:cNvPr id="19" name="CvC_MSG" hidden="1">
          <a:extLst>
            <a:ext uri="{FF2B5EF4-FFF2-40B4-BE49-F238E27FC236}">
              <a16:creationId xmlns:a16="http://schemas.microsoft.com/office/drawing/2014/main" id="{39985E64-F20C-4CE6-B2E0-AD8F45B9EE7E}"/>
            </a:ext>
          </a:extLst>
        </xdr:cNvPr>
        <xdr:cNvSpPr/>
      </xdr:nvSpPr>
      <xdr:spPr bwMode="auto">
        <a:xfrm>
          <a:off x="6290310" y="6654165"/>
          <a:ext cx="6974205" cy="211264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Critical Flow Threshold:</a:t>
          </a:r>
        </a:p>
        <a:p>
          <a:pPr algn="ctr"/>
          <a:endParaRPr lang="en-US" sz="1100" b="1" u="sng">
            <a:solidFill>
              <a:schemeClr val="tx2"/>
            </a:solidFill>
          </a:endParaRPr>
        </a:p>
        <a:p>
          <a:pPr rtl="0"/>
          <a:r>
            <a:rPr lang="en-US" sz="1100">
              <a:effectLst/>
              <a:latin typeface="+mn-lt"/>
              <a:ea typeface="+mn-ea"/>
              <a:cs typeface="+mn-cs"/>
            </a:rPr>
            <a:t>For steam (and other compressible fluids), critical flow (or choked flow) occurs when the pressure drop becomes so large that the flow velocity reaches the speed of sound at the valve’s throat. This limits the maximum flow rate, regardless of further pressure reduction downstream.</a:t>
          </a:r>
        </a:p>
        <a:p>
          <a:pPr rtl="0"/>
          <a:endParaRPr lang="en-US" sz="1100">
            <a:effectLst/>
            <a:latin typeface="+mn-lt"/>
            <a:ea typeface="+mn-ea"/>
            <a:cs typeface="+mn-cs"/>
          </a:endParaRPr>
        </a:p>
        <a:p>
          <a:pPr rtl="0"/>
          <a:r>
            <a:rPr lang="en-US" sz="1100">
              <a:effectLst/>
              <a:latin typeface="+mn-lt"/>
              <a:ea typeface="+mn-ea"/>
              <a:cs typeface="+mn-cs"/>
            </a:rPr>
            <a:t>The critical pressure ratio for steam is approximately 0.5 (or 50%), meaning choked flow begins when the downstream absolute pressure (PO) falls below 50% of the upstream absolute pressure (PI).</a:t>
          </a:r>
        </a:p>
        <a:p>
          <a:pPr algn="ctr"/>
          <a:endParaRPr lang="en-US" sz="1100" b="1" u="sng">
            <a:solidFill>
              <a:schemeClr val="tx2"/>
            </a:solidFill>
          </a:endParaRPr>
        </a:p>
      </xdr:txBody>
    </xdr:sp>
    <xdr:clientData/>
  </xdr:twoCellAnchor>
  <xdr:twoCellAnchor>
    <xdr:from>
      <xdr:col>7</xdr:col>
      <xdr:colOff>419100</xdr:colOff>
      <xdr:row>44</xdr:row>
      <xdr:rowOff>114300</xdr:rowOff>
    </xdr:from>
    <xdr:to>
      <xdr:col>8</xdr:col>
      <xdr:colOff>668655</xdr:colOff>
      <xdr:row>45</xdr:row>
      <xdr:rowOff>93345</xdr:rowOff>
    </xdr:to>
    <xdr:sp macro="[0]!ShowSteamCalc" textlink="">
      <xdr:nvSpPr>
        <xdr:cNvPr id="26" name="Calculate Button">
          <a:extLst>
            <a:ext uri="{FF2B5EF4-FFF2-40B4-BE49-F238E27FC236}">
              <a16:creationId xmlns:a16="http://schemas.microsoft.com/office/drawing/2014/main" id="{A2CE2EB9-BEEA-4FE7-9122-02EBD34E67DE}"/>
            </a:ext>
          </a:extLst>
        </xdr:cNvPr>
        <xdr:cNvSpPr/>
      </xdr:nvSpPr>
      <xdr:spPr>
        <a:xfrm>
          <a:off x="8515350" y="9772650"/>
          <a:ext cx="1202055" cy="274320"/>
        </a:xfrm>
        <a:prstGeom prst="roundRect">
          <a:avLst/>
        </a:prstGeom>
        <a:solidFill>
          <a:srgbClr val="0070C0"/>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a:t>Create Flow Table</a:t>
          </a: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22</xdr:row>
          <xdr:rowOff>9525</xdr:rowOff>
        </xdr:from>
        <xdr:to>
          <xdr:col>8</xdr:col>
          <xdr:colOff>148590</xdr:colOff>
          <xdr:row>23</xdr:row>
          <xdr:rowOff>3810</xdr:rowOff>
        </xdr:to>
        <xdr:sp macro="" textlink="">
          <xdr:nvSpPr>
            <xdr:cNvPr id="1033" name="f_ValveType"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xdr:row>
          <xdr:rowOff>238125</xdr:rowOff>
        </xdr:from>
        <xdr:to>
          <xdr:col>8</xdr:col>
          <xdr:colOff>148590</xdr:colOff>
          <xdr:row>25</xdr:row>
          <xdr:rowOff>194310</xdr:rowOff>
        </xdr:to>
        <xdr:sp macro="" textlink="">
          <xdr:nvSpPr>
            <xdr:cNvPr id="1034" name="f_SteamType"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266700</xdr:colOff>
      <xdr:row>27</xdr:row>
      <xdr:rowOff>106680</xdr:rowOff>
    </xdr:from>
    <xdr:to>
      <xdr:col>6</xdr:col>
      <xdr:colOff>1456901</xdr:colOff>
      <xdr:row>28</xdr:row>
      <xdr:rowOff>164676</xdr:rowOff>
    </xdr:to>
    <xdr:sp macro="[0]!CalculateVelocity" textlink="">
      <xdr:nvSpPr>
        <xdr:cNvPr id="37" name="Calculate Button">
          <a:extLst>
            <a:ext uri="{FF2B5EF4-FFF2-40B4-BE49-F238E27FC236}">
              <a16:creationId xmlns:a16="http://schemas.microsoft.com/office/drawing/2014/main" id="{7DA8E0D3-7C3B-493B-A628-D30CD61E667B}"/>
            </a:ext>
          </a:extLst>
        </xdr:cNvPr>
        <xdr:cNvSpPr/>
      </xdr:nvSpPr>
      <xdr:spPr>
        <a:xfrm>
          <a:off x="6560820" y="6156960"/>
          <a:ext cx="1190201" cy="271356"/>
        </a:xfrm>
        <a:prstGeom prst="roundRect">
          <a:avLst/>
        </a:prstGeom>
        <a:solidFill>
          <a:schemeClr val="tx2">
            <a:lumMod val="75000"/>
            <a:lumOff val="2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Calculate</a:t>
          </a: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23</xdr:row>
          <xdr:rowOff>0</xdr:rowOff>
        </xdr:from>
        <xdr:to>
          <xdr:col>8</xdr:col>
          <xdr:colOff>148590</xdr:colOff>
          <xdr:row>24</xdr:row>
          <xdr:rowOff>0</xdr:rowOff>
        </xdr:to>
        <xdr:sp macro="" textlink="">
          <xdr:nvSpPr>
            <xdr:cNvPr id="1035" name="f_PipeSize"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xdr:row>
          <xdr:rowOff>9525</xdr:rowOff>
        </xdr:from>
        <xdr:to>
          <xdr:col>8</xdr:col>
          <xdr:colOff>148590</xdr:colOff>
          <xdr:row>24</xdr:row>
          <xdr:rowOff>228600</xdr:rowOff>
        </xdr:to>
        <xdr:sp macro="" textlink="">
          <xdr:nvSpPr>
            <xdr:cNvPr id="1036" name="f_ValveSize"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15</xdr:col>
      <xdr:colOff>600075</xdr:colOff>
      <xdr:row>0</xdr:row>
      <xdr:rowOff>17144</xdr:rowOff>
    </xdr:from>
    <xdr:to>
      <xdr:col>15</xdr:col>
      <xdr:colOff>1937385</xdr:colOff>
      <xdr:row>0</xdr:row>
      <xdr:rowOff>469983</xdr:rowOff>
    </xdr:to>
    <xdr:pic macro="[0]!EmailSummarySheet">
      <xdr:nvPicPr>
        <xdr:cNvPr id="4" name="Picture 3" descr="Image result for send email pics">
          <a:extLst>
            <a:ext uri="{FF2B5EF4-FFF2-40B4-BE49-F238E27FC236}">
              <a16:creationId xmlns:a16="http://schemas.microsoft.com/office/drawing/2014/main" id="{35FEA938-A94A-43A5-F9AA-88F242C30A1F}"/>
            </a:ext>
          </a:extLst>
        </xdr:cNvPr>
        <xdr:cNvPicPr>
          <a:picLocks noChangeAspect="1" noChangeArrowheads="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l="-1823" t="34305" r="10862" b="38341"/>
        <a:stretch/>
      </xdr:blipFill>
      <xdr:spPr bwMode="auto">
        <a:xfrm>
          <a:off x="14268450" y="17144"/>
          <a:ext cx="1337310" cy="4528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spiraxsarco.com/resources-and-design-tools/steam-tables/dry-saturated-steam-line"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S34"/>
  <sheetViews>
    <sheetView workbookViewId="0">
      <selection activeCell="P4" sqref="P4"/>
    </sheetView>
  </sheetViews>
  <sheetFormatPr defaultColWidth="9.140625" defaultRowHeight="12.75" x14ac:dyDescent="0.2"/>
  <cols>
    <col min="1" max="12" width="9.140625" style="1"/>
    <col min="13" max="13" width="19.42578125" style="1" customWidth="1"/>
    <col min="14" max="14" width="11.140625" style="1" customWidth="1"/>
    <col min="15" max="15" width="9.140625" style="1"/>
    <col min="16" max="16" width="10.85546875" style="1" customWidth="1"/>
    <col min="17" max="17" width="9.140625" style="1"/>
    <col min="18" max="18" width="13.5703125" style="1" customWidth="1"/>
    <col min="19" max="19" width="11.42578125" style="1" customWidth="1"/>
    <col min="20" max="16384" width="9.140625" style="1"/>
  </cols>
  <sheetData>
    <row r="1" spans="1:19" x14ac:dyDescent="0.2">
      <c r="B1" s="59"/>
      <c r="C1" s="57"/>
      <c r="D1" s="59"/>
      <c r="E1" s="59"/>
      <c r="F1" s="59"/>
      <c r="G1" s="59"/>
      <c r="H1" s="59"/>
      <c r="I1" s="59"/>
      <c r="J1" s="59"/>
      <c r="K1" s="59"/>
      <c r="L1" s="59"/>
      <c r="M1" s="143" t="s">
        <v>91</v>
      </c>
      <c r="N1" s="143" t="s">
        <v>92</v>
      </c>
      <c r="O1" s="143" t="s">
        <v>93</v>
      </c>
      <c r="P1" s="143" t="s">
        <v>0</v>
      </c>
      <c r="Q1" s="143" t="s">
        <v>179</v>
      </c>
      <c r="R1" s="143" t="s">
        <v>299</v>
      </c>
      <c r="S1" s="143" t="s">
        <v>298</v>
      </c>
    </row>
    <row r="2" spans="1:19" x14ac:dyDescent="0.2">
      <c r="A2" s="53"/>
      <c r="B2" s="53"/>
      <c r="C2" s="54"/>
      <c r="D2" s="53"/>
      <c r="E2" s="61"/>
      <c r="F2" s="55"/>
      <c r="G2" s="61"/>
      <c r="H2" s="61"/>
      <c r="I2" s="61"/>
      <c r="J2" s="61"/>
      <c r="K2" s="61"/>
      <c r="L2" s="61"/>
      <c r="M2" s="56" t="s">
        <v>97</v>
      </c>
      <c r="N2" s="56" t="s">
        <v>25</v>
      </c>
      <c r="O2" s="56" t="s">
        <v>90</v>
      </c>
      <c r="P2" s="56" t="s">
        <v>102</v>
      </c>
      <c r="Q2" s="56" t="s">
        <v>290</v>
      </c>
      <c r="R2" s="1" t="s">
        <v>293</v>
      </c>
      <c r="S2" s="56" t="s">
        <v>296</v>
      </c>
    </row>
    <row r="3" spans="1:19" x14ac:dyDescent="0.2">
      <c r="B3" s="55"/>
      <c r="C3" s="54"/>
      <c r="D3" s="61"/>
      <c r="F3" s="60"/>
      <c r="G3" s="59"/>
      <c r="H3" s="59"/>
      <c r="I3" s="59"/>
      <c r="J3" s="59"/>
      <c r="K3" s="59"/>
      <c r="L3" s="59"/>
      <c r="M3" s="56" t="s">
        <v>95</v>
      </c>
      <c r="N3" s="56" t="s">
        <v>18</v>
      </c>
      <c r="O3" s="56" t="s">
        <v>89</v>
      </c>
      <c r="P3" s="56" t="s">
        <v>393</v>
      </c>
      <c r="Q3" s="56" t="s">
        <v>287</v>
      </c>
      <c r="R3" s="1" t="s">
        <v>294</v>
      </c>
      <c r="S3" s="56" t="s">
        <v>287</v>
      </c>
    </row>
    <row r="4" spans="1:19" x14ac:dyDescent="0.2">
      <c r="B4" s="59"/>
      <c r="C4" s="57"/>
      <c r="D4" s="59"/>
      <c r="F4" s="148"/>
      <c r="G4" s="59"/>
      <c r="H4" s="59"/>
      <c r="I4" s="59"/>
      <c r="J4" s="59"/>
      <c r="K4" s="59"/>
      <c r="L4" s="59"/>
      <c r="M4" s="56" t="s">
        <v>94</v>
      </c>
      <c r="O4" s="56" t="s">
        <v>20</v>
      </c>
      <c r="P4" s="1" t="s">
        <v>112</v>
      </c>
      <c r="Q4" s="56" t="s">
        <v>135</v>
      </c>
    </row>
    <row r="5" spans="1:19" x14ac:dyDescent="0.2">
      <c r="B5" s="149"/>
      <c r="C5" s="57"/>
      <c r="D5" s="59"/>
      <c r="F5" s="59"/>
      <c r="G5" s="59"/>
      <c r="H5" s="59"/>
      <c r="I5" s="59"/>
      <c r="J5" s="59"/>
      <c r="K5" s="59"/>
      <c r="L5" s="59"/>
      <c r="M5" s="56" t="s">
        <v>96</v>
      </c>
      <c r="O5" s="56" t="s">
        <v>26</v>
      </c>
      <c r="Q5" s="56" t="s">
        <v>286</v>
      </c>
    </row>
    <row r="6" spans="1:19" x14ac:dyDescent="0.2">
      <c r="B6" s="150"/>
      <c r="C6" s="58"/>
      <c r="D6" s="59"/>
      <c r="F6" s="59"/>
      <c r="G6" s="59"/>
      <c r="H6" s="59"/>
      <c r="I6" s="59"/>
      <c r="J6" s="59"/>
      <c r="K6" s="59"/>
      <c r="L6" s="59"/>
      <c r="Q6" s="56" t="s">
        <v>283</v>
      </c>
    </row>
    <row r="7" spans="1:19" x14ac:dyDescent="0.2">
      <c r="B7" s="62"/>
      <c r="C7" s="58"/>
      <c r="F7" s="60"/>
      <c r="G7" s="59"/>
      <c r="H7" s="59"/>
      <c r="I7" s="59"/>
      <c r="J7" s="59"/>
      <c r="K7" s="59"/>
      <c r="L7" s="59"/>
      <c r="Q7" s="56" t="s">
        <v>284</v>
      </c>
    </row>
    <row r="8" spans="1:19" x14ac:dyDescent="0.2">
      <c r="B8" s="65"/>
      <c r="C8" s="57"/>
      <c r="F8" s="60"/>
      <c r="G8" s="59"/>
      <c r="H8" s="59"/>
      <c r="I8" s="59"/>
      <c r="J8" s="59"/>
      <c r="K8" s="59"/>
      <c r="L8" s="59"/>
    </row>
    <row r="9" spans="1:19" x14ac:dyDescent="0.2">
      <c r="B9" s="59"/>
      <c r="C9" s="57"/>
      <c r="F9" s="60"/>
      <c r="G9" s="59"/>
      <c r="H9" s="59"/>
      <c r="I9" s="59"/>
      <c r="J9" s="59"/>
      <c r="K9" s="59"/>
      <c r="L9" s="59"/>
    </row>
    <row r="10" spans="1:19" x14ac:dyDescent="0.2">
      <c r="B10" s="150"/>
      <c r="C10" s="58"/>
      <c r="F10" s="60"/>
      <c r="G10" s="59"/>
      <c r="H10" s="59"/>
      <c r="I10" s="59"/>
      <c r="J10" s="59"/>
      <c r="K10" s="59"/>
      <c r="L10" s="59"/>
    </row>
    <row r="11" spans="1:19" x14ac:dyDescent="0.2">
      <c r="B11" s="62"/>
      <c r="C11" s="58"/>
      <c r="F11" s="60"/>
      <c r="G11" s="59"/>
      <c r="H11" s="59"/>
      <c r="I11" s="59"/>
      <c r="J11" s="59"/>
      <c r="K11" s="59"/>
      <c r="L11" s="59"/>
    </row>
    <row r="12" spans="1:19" x14ac:dyDescent="0.2">
      <c r="B12" s="65"/>
      <c r="C12" s="57"/>
      <c r="D12" s="59"/>
      <c r="E12" s="59"/>
      <c r="F12" s="59"/>
      <c r="G12" s="59"/>
      <c r="H12" s="59"/>
      <c r="I12" s="59"/>
      <c r="J12" s="59"/>
      <c r="K12" s="59"/>
      <c r="L12" s="59"/>
    </row>
    <row r="13" spans="1:19" x14ac:dyDescent="0.2">
      <c r="B13" s="65"/>
      <c r="C13" s="57"/>
      <c r="D13" s="59"/>
      <c r="E13" s="59"/>
      <c r="F13" s="59"/>
      <c r="G13" s="59"/>
      <c r="H13" s="59"/>
      <c r="I13" s="59"/>
      <c r="J13" s="59"/>
      <c r="K13" s="59"/>
      <c r="L13" s="59"/>
    </row>
    <row r="14" spans="1:19" x14ac:dyDescent="0.2">
      <c r="B14" s="66"/>
      <c r="C14" s="57"/>
      <c r="D14" s="59"/>
      <c r="E14" s="59"/>
      <c r="F14" s="151"/>
      <c r="H14" s="59"/>
      <c r="I14" s="59"/>
      <c r="J14" s="59"/>
      <c r="K14" s="59"/>
      <c r="L14" s="59"/>
    </row>
    <row r="15" spans="1:19" x14ac:dyDescent="0.2">
      <c r="B15" s="65"/>
      <c r="C15" s="57"/>
      <c r="D15" s="59"/>
      <c r="E15" s="59"/>
      <c r="F15" s="59"/>
      <c r="G15" s="59"/>
      <c r="H15" s="59"/>
      <c r="I15" s="59"/>
      <c r="J15" s="59"/>
      <c r="K15" s="59"/>
      <c r="L15" s="59"/>
    </row>
    <row r="16" spans="1:19" x14ac:dyDescent="0.2">
      <c r="B16" s="59"/>
      <c r="C16" s="57"/>
      <c r="D16" s="59"/>
      <c r="E16" s="59"/>
      <c r="F16" s="59"/>
      <c r="G16" s="59"/>
      <c r="H16" s="59"/>
      <c r="I16" s="59"/>
      <c r="J16" s="59"/>
      <c r="K16" s="59"/>
      <c r="L16" s="59"/>
    </row>
    <row r="17" spans="1:12" x14ac:dyDescent="0.2">
      <c r="B17" s="59"/>
      <c r="C17" s="57"/>
      <c r="D17" s="59"/>
      <c r="E17" s="59"/>
      <c r="F17" s="59"/>
      <c r="G17" s="59"/>
      <c r="H17" s="59"/>
      <c r="I17" s="59"/>
      <c r="J17" s="59"/>
      <c r="K17" s="59"/>
      <c r="L17" s="59"/>
    </row>
    <row r="18" spans="1:12" x14ac:dyDescent="0.2">
      <c r="B18" s="62"/>
      <c r="C18" s="57"/>
      <c r="D18" s="59"/>
      <c r="E18" s="59"/>
      <c r="F18" s="59"/>
      <c r="H18" s="59"/>
      <c r="I18" s="59"/>
      <c r="K18" s="59"/>
      <c r="L18" s="59"/>
    </row>
    <row r="19" spans="1:12" x14ac:dyDescent="0.2">
      <c r="B19" s="62"/>
      <c r="C19" s="57"/>
      <c r="D19" s="59"/>
      <c r="E19" s="59"/>
      <c r="F19" s="59"/>
      <c r="H19" s="152"/>
      <c r="K19" s="59"/>
      <c r="L19" s="59"/>
    </row>
    <row r="20" spans="1:12" x14ac:dyDescent="0.2">
      <c r="B20" s="66"/>
      <c r="C20" s="57"/>
      <c r="D20" s="59"/>
      <c r="E20" s="59"/>
      <c r="F20" s="59"/>
      <c r="G20" s="59"/>
      <c r="H20" s="59"/>
      <c r="I20" s="59"/>
      <c r="J20" s="59"/>
      <c r="K20" s="59"/>
      <c r="L20" s="59"/>
    </row>
    <row r="21" spans="1:12" x14ac:dyDescent="0.2">
      <c r="B21" s="59"/>
      <c r="C21" s="57"/>
      <c r="D21" s="59"/>
      <c r="E21" s="59"/>
      <c r="F21" s="59"/>
      <c r="G21" s="59"/>
      <c r="H21" s="59"/>
      <c r="I21" s="59"/>
      <c r="J21" s="59"/>
      <c r="K21" s="59"/>
      <c r="L21" s="59"/>
    </row>
    <row r="22" spans="1:12" x14ac:dyDescent="0.2">
      <c r="B22" s="59"/>
      <c r="C22" s="57"/>
      <c r="D22" s="59"/>
      <c r="E22" s="59"/>
      <c r="F22" s="59"/>
      <c r="G22" s="59"/>
      <c r="H22" s="59"/>
      <c r="I22" s="59"/>
      <c r="J22" s="59"/>
      <c r="K22" s="59"/>
      <c r="L22" s="59"/>
    </row>
    <row r="23" spans="1:12" x14ac:dyDescent="0.2">
      <c r="B23" s="59"/>
      <c r="C23" s="57"/>
      <c r="D23" s="59"/>
      <c r="E23" s="59"/>
      <c r="F23" s="59"/>
      <c r="G23" s="59"/>
      <c r="H23" s="59"/>
      <c r="I23" s="59"/>
      <c r="J23" s="59"/>
      <c r="K23" s="59"/>
      <c r="L23" s="59"/>
    </row>
    <row r="24" spans="1:12" x14ac:dyDescent="0.2">
      <c r="B24" s="149"/>
      <c r="C24" s="57"/>
      <c r="D24" s="59"/>
      <c r="E24" s="59"/>
      <c r="F24" s="59"/>
      <c r="G24" s="59"/>
      <c r="H24" s="59"/>
      <c r="I24" s="59"/>
      <c r="J24" s="59"/>
      <c r="K24" s="59"/>
      <c r="L24" s="59"/>
    </row>
    <row r="25" spans="1:12" x14ac:dyDescent="0.2">
      <c r="A25" s="64"/>
      <c r="B25" s="60"/>
      <c r="C25" s="58"/>
      <c r="D25" s="59"/>
      <c r="E25" s="59"/>
      <c r="F25" s="59"/>
      <c r="G25" s="59"/>
      <c r="H25" s="59"/>
      <c r="I25" s="59"/>
      <c r="J25" s="59"/>
      <c r="K25" s="59"/>
      <c r="L25" s="59"/>
    </row>
    <row r="26" spans="1:12" x14ac:dyDescent="0.2">
      <c r="B26" s="60"/>
      <c r="C26" s="57"/>
      <c r="D26" s="59"/>
      <c r="E26" s="59"/>
      <c r="F26" s="59"/>
      <c r="G26" s="59"/>
      <c r="H26" s="59"/>
      <c r="I26" s="59"/>
      <c r="J26" s="59"/>
      <c r="K26" s="59"/>
      <c r="L26" s="59"/>
    </row>
    <row r="27" spans="1:12" x14ac:dyDescent="0.2">
      <c r="B27" s="62"/>
      <c r="C27" s="57"/>
      <c r="D27" s="59"/>
      <c r="E27" s="59"/>
      <c r="F27" s="59"/>
      <c r="G27" s="59"/>
      <c r="H27" s="59"/>
      <c r="I27" s="59"/>
      <c r="J27" s="59"/>
      <c r="K27" s="59"/>
      <c r="L27" s="59"/>
    </row>
    <row r="28" spans="1:12" x14ac:dyDescent="0.2">
      <c r="B28" s="59"/>
      <c r="C28" s="57"/>
      <c r="D28" s="59"/>
      <c r="E28" s="59"/>
      <c r="F28" s="59"/>
      <c r="G28" s="59"/>
      <c r="H28" s="59"/>
      <c r="I28" s="59"/>
      <c r="J28" s="59"/>
      <c r="K28" s="59"/>
      <c r="L28" s="59"/>
    </row>
    <row r="29" spans="1:12" x14ac:dyDescent="0.2">
      <c r="B29" s="60"/>
      <c r="C29" s="57"/>
      <c r="D29" s="59"/>
      <c r="E29" s="59"/>
      <c r="F29" s="59"/>
      <c r="G29" s="59"/>
      <c r="H29" s="59"/>
      <c r="I29" s="59"/>
      <c r="J29" s="59"/>
      <c r="K29" s="59"/>
      <c r="L29" s="59"/>
    </row>
    <row r="30" spans="1:12" x14ac:dyDescent="0.2">
      <c r="B30" s="59"/>
      <c r="C30" s="57"/>
      <c r="D30" s="59"/>
      <c r="E30" s="59"/>
      <c r="F30" s="59"/>
      <c r="G30" s="59"/>
      <c r="H30" s="59"/>
      <c r="I30" s="59"/>
      <c r="J30" s="59"/>
      <c r="K30" s="59"/>
      <c r="L30" s="59"/>
    </row>
    <row r="31" spans="1:12" x14ac:dyDescent="0.2">
      <c r="B31" s="153"/>
      <c r="C31" s="57"/>
      <c r="D31" s="59"/>
      <c r="E31" s="59"/>
      <c r="F31" s="59"/>
      <c r="G31" s="59"/>
      <c r="H31" s="59"/>
      <c r="I31" s="59"/>
      <c r="J31" s="59"/>
      <c r="K31" s="59"/>
      <c r="L31" s="59"/>
    </row>
    <row r="32" spans="1:12" x14ac:dyDescent="0.2">
      <c r="B32" s="59"/>
      <c r="C32" s="57"/>
      <c r="D32" s="59"/>
      <c r="E32" s="59"/>
      <c r="F32" s="59"/>
      <c r="G32" s="59"/>
      <c r="H32" s="59"/>
      <c r="I32" s="59"/>
      <c r="J32" s="59"/>
      <c r="K32" s="59"/>
      <c r="L32" s="59"/>
    </row>
    <row r="33" spans="2:12" x14ac:dyDescent="0.2">
      <c r="B33" s="60"/>
      <c r="C33" s="58"/>
      <c r="D33" s="59"/>
      <c r="E33" s="59"/>
      <c r="F33" s="59"/>
      <c r="G33" s="59"/>
      <c r="H33" s="59"/>
      <c r="I33" s="59"/>
      <c r="J33" s="59"/>
      <c r="K33" s="59"/>
      <c r="L33" s="59"/>
    </row>
    <row r="34" spans="2:12" x14ac:dyDescent="0.2">
      <c r="B34" s="59"/>
      <c r="C34" s="57"/>
      <c r="D34" s="59"/>
      <c r="E34" s="59"/>
      <c r="F34" s="59"/>
      <c r="G34" s="59"/>
      <c r="H34" s="59"/>
      <c r="I34" s="59"/>
      <c r="J34" s="59"/>
      <c r="K34" s="59"/>
      <c r="L34" s="59"/>
    </row>
  </sheetData>
  <sortState xmlns:xlrd2="http://schemas.microsoft.com/office/spreadsheetml/2017/richdata2" ref="P4">
    <sortCondition ref="P3:P4"/>
  </sortState>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9552-2BB8-4D83-8C41-A785B5C8C360}">
  <sheetPr codeName="Sheet14">
    <tabColor rgb="FF0070C0"/>
  </sheetPr>
  <dimension ref="A1:CD58"/>
  <sheetViews>
    <sheetView showGridLines="0" showRowColHeaders="0" tabSelected="1" topLeftCell="A28" zoomScale="90" zoomScaleNormal="90" workbookViewId="0">
      <selection activeCell="C15" sqref="C15"/>
      <extLst>
        <ext xmlns:xlsdti="http://schemas.microsoft.com/office/spreadsheetml/2023/showDataTypeIcons" uri="{77bfe23e-c014-4d31-8a63-9c772dbf06b6}">
          <xlsdti:showDataTypeIcons visible="0"/>
        </ext>
      </extLst>
    </sheetView>
  </sheetViews>
  <sheetFormatPr defaultColWidth="9.140625" defaultRowHeight="15" x14ac:dyDescent="0.25"/>
  <cols>
    <col min="1" max="1" width="10.5703125" style="85" customWidth="1"/>
    <col min="2" max="2" width="28" style="85" customWidth="1"/>
    <col min="3" max="3" width="14.140625" style="85" customWidth="1"/>
    <col min="4" max="4" width="27.28515625" style="85" customWidth="1"/>
    <col min="5" max="5" width="7" style="85" customWidth="1"/>
    <col min="6" max="6" width="6.7109375" style="85" customWidth="1"/>
    <col min="7" max="7" width="27.140625" style="88" customWidth="1"/>
    <col min="8" max="8" width="14.28515625" style="85" customWidth="1"/>
    <col min="9" max="9" width="16.5703125" style="85" customWidth="1"/>
    <col min="10" max="11" width="9.140625" style="85"/>
    <col min="12" max="12" width="18.7109375" style="85" customWidth="1"/>
    <col min="13" max="13" width="6.42578125" style="85" customWidth="1"/>
    <col min="14" max="14" width="26.5703125" style="89" customWidth="1"/>
    <col min="15" max="15" width="13.7109375" style="85" customWidth="1"/>
    <col min="16" max="16" width="25" style="85" customWidth="1"/>
    <col min="17" max="16384" width="9.140625" style="85"/>
  </cols>
  <sheetData>
    <row r="1" spans="1:26" ht="16.899999999999999" customHeight="1" x14ac:dyDescent="0.25">
      <c r="A1" s="286"/>
      <c r="Z1" s="85">
        <v>1</v>
      </c>
    </row>
    <row r="2" spans="1:26" ht="53.25" customHeight="1" x14ac:dyDescent="0.25"/>
    <row r="3" spans="1:26" ht="15.75" thickBot="1" x14ac:dyDescent="0.3">
      <c r="B3" s="295"/>
      <c r="C3" s="295"/>
      <c r="D3" s="295"/>
      <c r="H3" s="296"/>
      <c r="I3" s="296"/>
      <c r="J3" s="296"/>
      <c r="K3" s="296"/>
      <c r="L3" s="86"/>
      <c r="M3" s="86"/>
      <c r="N3" s="86"/>
    </row>
    <row r="4" spans="1:26" ht="15.75" thickBot="1" x14ac:dyDescent="0.3">
      <c r="B4" s="305" t="s">
        <v>99</v>
      </c>
      <c r="C4" s="306"/>
      <c r="D4" s="307"/>
    </row>
    <row r="5" spans="1:26" x14ac:dyDescent="0.25">
      <c r="B5" s="135"/>
      <c r="C5" s="136"/>
      <c r="D5" s="112"/>
      <c r="G5" s="131"/>
      <c r="H5" s="131"/>
      <c r="I5" s="131"/>
      <c r="J5" s="131"/>
      <c r="K5" s="131"/>
      <c r="L5" s="131"/>
      <c r="M5" s="131"/>
      <c r="N5" s="131"/>
      <c r="O5" s="194"/>
    </row>
    <row r="6" spans="1:26" x14ac:dyDescent="0.25">
      <c r="B6" s="308" t="s">
        <v>100</v>
      </c>
      <c r="C6" s="309"/>
      <c r="D6" s="294" t="s">
        <v>97</v>
      </c>
      <c r="O6" s="194"/>
    </row>
    <row r="7" spans="1:26" ht="18" customHeight="1" x14ac:dyDescent="0.25">
      <c r="B7" s="133"/>
      <c r="C7" s="132"/>
      <c r="D7" s="134"/>
      <c r="L7" s="158"/>
      <c r="O7" s="194"/>
    </row>
    <row r="8" spans="1:26" x14ac:dyDescent="0.25">
      <c r="B8" s="303" t="s">
        <v>84</v>
      </c>
      <c r="C8" s="304"/>
      <c r="D8" s="294" t="s">
        <v>18</v>
      </c>
      <c r="O8" s="194"/>
    </row>
    <row r="9" spans="1:26" ht="15.75" thickBot="1" x14ac:dyDescent="0.3">
      <c r="B9" s="114"/>
      <c r="C9" s="92"/>
      <c r="D9" s="115"/>
      <c r="G9" s="129"/>
      <c r="H9" s="130"/>
      <c r="O9" s="194"/>
    </row>
    <row r="10" spans="1:26" ht="15.75" thickBot="1" x14ac:dyDescent="0.3">
      <c r="B10" s="305" t="s">
        <v>98</v>
      </c>
      <c r="C10" s="306"/>
      <c r="D10" s="307"/>
      <c r="K10" s="130"/>
      <c r="O10" s="194"/>
    </row>
    <row r="11" spans="1:26" x14ac:dyDescent="0.25">
      <c r="B11" s="116"/>
      <c r="C11" s="117"/>
      <c r="D11" s="118"/>
      <c r="O11" s="194"/>
    </row>
    <row r="12" spans="1:26" ht="18.75" customHeight="1" x14ac:dyDescent="0.25">
      <c r="B12" s="93" t="s">
        <v>19</v>
      </c>
      <c r="C12" s="259">
        <v>1250</v>
      </c>
      <c r="D12" s="281" t="s">
        <v>26</v>
      </c>
      <c r="O12" s="194"/>
    </row>
    <row r="13" spans="1:26" ht="18.75" customHeight="1" x14ac:dyDescent="0.25">
      <c r="B13" s="177" t="s">
        <v>113</v>
      </c>
      <c r="C13" s="141">
        <v>20</v>
      </c>
      <c r="D13" s="144" t="s">
        <v>103</v>
      </c>
      <c r="O13" s="194"/>
    </row>
    <row r="14" spans="1:26" ht="19.5" customHeight="1" x14ac:dyDescent="0.25">
      <c r="B14" s="93" t="s">
        <v>86</v>
      </c>
      <c r="C14" s="142">
        <v>10</v>
      </c>
      <c r="D14" s="280" t="s">
        <v>102</v>
      </c>
      <c r="G14" s="277"/>
    </row>
    <row r="15" spans="1:26" ht="18.75" customHeight="1" x14ac:dyDescent="0.25">
      <c r="B15" s="93" t="s">
        <v>21</v>
      </c>
      <c r="C15" s="257">
        <v>14.7</v>
      </c>
      <c r="D15" s="282" t="s">
        <v>82</v>
      </c>
    </row>
    <row r="16" spans="1:26" ht="15.75" thickBot="1" x14ac:dyDescent="0.3">
      <c r="B16" s="93"/>
      <c r="C16" s="119"/>
      <c r="D16" s="107"/>
    </row>
    <row r="17" spans="2:82" ht="15.75" thickBot="1" x14ac:dyDescent="0.3">
      <c r="B17" s="297"/>
      <c r="C17" s="298"/>
      <c r="D17" s="299"/>
    </row>
    <row r="18" spans="2:82" x14ac:dyDescent="0.25">
      <c r="B18" s="137"/>
      <c r="C18" s="137"/>
      <c r="D18" s="137"/>
    </row>
    <row r="19" spans="2:82" x14ac:dyDescent="0.25">
      <c r="B19" s="137"/>
      <c r="C19" s="137"/>
      <c r="D19" s="156">
        <v>16.7</v>
      </c>
      <c r="K19" s="287" t="s">
        <v>101</v>
      </c>
      <c r="L19" s="287"/>
      <c r="M19" s="287"/>
      <c r="N19" s="288"/>
      <c r="S19"/>
    </row>
    <row r="20" spans="2:82" x14ac:dyDescent="0.25">
      <c r="B20" s="137"/>
      <c r="C20" s="137"/>
      <c r="D20" s="156">
        <v>25.954820257724354</v>
      </c>
      <c r="K20" s="287"/>
      <c r="L20" s="287"/>
      <c r="M20" s="287"/>
      <c r="N20" s="288" t="s">
        <v>413</v>
      </c>
      <c r="S20"/>
    </row>
    <row r="21" spans="2:82" ht="15.75" thickBot="1" x14ac:dyDescent="0.3">
      <c r="K21" s="287"/>
      <c r="L21" s="287"/>
      <c r="M21" s="287" t="s">
        <v>184</v>
      </c>
      <c r="N21" s="289">
        <v>0</v>
      </c>
      <c r="S21"/>
    </row>
    <row r="22" spans="2:82" ht="15.75" thickBot="1" x14ac:dyDescent="0.3">
      <c r="B22" s="300" t="s">
        <v>180</v>
      </c>
      <c r="C22" s="301"/>
      <c r="D22" s="302"/>
      <c r="G22" s="300" t="s">
        <v>306</v>
      </c>
      <c r="H22" s="301"/>
      <c r="I22" s="302"/>
      <c r="K22" s="287"/>
      <c r="L22" s="287"/>
      <c r="M22" s="287" t="s">
        <v>394</v>
      </c>
      <c r="N22" s="289">
        <v>10</v>
      </c>
      <c r="S22"/>
    </row>
    <row r="23" spans="2:82" ht="17.25" customHeight="1" x14ac:dyDescent="0.25">
      <c r="B23" s="113"/>
      <c r="C23" s="120"/>
      <c r="D23" s="121"/>
      <c r="G23" s="95" t="s">
        <v>297</v>
      </c>
      <c r="H23" s="283" t="s">
        <v>392</v>
      </c>
      <c r="I23" s="121"/>
      <c r="K23" s="287"/>
      <c r="L23" s="287"/>
      <c r="M23" s="287" t="s">
        <v>395</v>
      </c>
      <c r="N23" s="289">
        <v>34.700000000000003</v>
      </c>
      <c r="S23" s="63"/>
    </row>
    <row r="24" spans="2:82" ht="17.25" customHeight="1" x14ac:dyDescent="0.25">
      <c r="B24" s="109" t="s">
        <v>116</v>
      </c>
      <c r="C24" s="139">
        <v>10</v>
      </c>
      <c r="D24" s="91" t="s">
        <v>22</v>
      </c>
      <c r="G24" s="109" t="s">
        <v>291</v>
      </c>
      <c r="H24" s="284">
        <v>0</v>
      </c>
      <c r="I24" s="263" t="s">
        <v>309</v>
      </c>
      <c r="K24" s="287"/>
      <c r="L24" s="287"/>
      <c r="M24" s="287" t="s">
        <v>412</v>
      </c>
      <c r="N24" s="290">
        <v>0</v>
      </c>
      <c r="S24" s="127"/>
    </row>
    <row r="25" spans="2:82" ht="20.25" customHeight="1" x14ac:dyDescent="0.25">
      <c r="B25" s="95" t="s">
        <v>117</v>
      </c>
      <c r="C25" s="140">
        <v>10</v>
      </c>
      <c r="D25" s="159" t="s">
        <v>22</v>
      </c>
      <c r="G25" s="95" t="s">
        <v>272</v>
      </c>
      <c r="H25" s="284">
        <v>0</v>
      </c>
      <c r="I25" s="264" t="s">
        <v>309</v>
      </c>
      <c r="J25"/>
      <c r="K25" s="287"/>
      <c r="L25" s="287"/>
      <c r="M25" s="287" t="s">
        <v>396</v>
      </c>
      <c r="N25" s="291">
        <v>1302.0833333333335</v>
      </c>
      <c r="S25" s="63"/>
    </row>
    <row r="26" spans="2:82" ht="17.25" customHeight="1" x14ac:dyDescent="0.25">
      <c r="B26" s="179" t="s">
        <v>118</v>
      </c>
      <c r="C26" s="139">
        <v>20</v>
      </c>
      <c r="D26" s="160" t="s">
        <v>22</v>
      </c>
      <c r="G26" s="254" t="s">
        <v>292</v>
      </c>
      <c r="H26" s="285" t="s">
        <v>392</v>
      </c>
      <c r="I26" s="91"/>
      <c r="K26" s="287"/>
      <c r="L26" s="287"/>
      <c r="M26" s="287"/>
      <c r="N26" s="292" t="s">
        <v>105</v>
      </c>
      <c r="S26" s="63"/>
    </row>
    <row r="27" spans="2:82" ht="17.25" customHeight="1" thickBot="1" x14ac:dyDescent="0.3">
      <c r="B27" s="180" t="s">
        <v>119</v>
      </c>
      <c r="C27" s="140">
        <v>24.7</v>
      </c>
      <c r="D27" s="94" t="s">
        <v>23</v>
      </c>
      <c r="G27" s="258" t="s">
        <v>307</v>
      </c>
      <c r="H27" s="279">
        <v>0</v>
      </c>
      <c r="I27" s="94"/>
      <c r="K27" s="287"/>
      <c r="L27" s="287"/>
      <c r="M27" s="287"/>
      <c r="N27" s="293" t="s">
        <v>105</v>
      </c>
      <c r="S27" s="63"/>
    </row>
    <row r="28" spans="2:82" ht="17.25" customHeight="1" thickBot="1" x14ac:dyDescent="0.3">
      <c r="B28" s="90" t="s">
        <v>181</v>
      </c>
      <c r="C28" s="138">
        <v>25.25901783916801</v>
      </c>
      <c r="D28" s="147" t="s">
        <v>448</v>
      </c>
      <c r="G28" s="90"/>
      <c r="H28" s="197"/>
      <c r="I28" s="91"/>
      <c r="K28" s="287"/>
      <c r="L28" s="287"/>
      <c r="M28" s="287"/>
      <c r="N28" s="288"/>
      <c r="S28" s="63"/>
      <c r="CD28" s="85">
        <v>110.84060954183826</v>
      </c>
    </row>
    <row r="29" spans="2:82" ht="17.25" customHeight="1" thickBot="1" x14ac:dyDescent="0.3">
      <c r="B29" s="96"/>
      <c r="C29" s="97"/>
      <c r="D29" s="94"/>
      <c r="G29" s="96"/>
      <c r="H29" s="97"/>
      <c r="I29" s="94"/>
      <c r="K29" s="287"/>
      <c r="L29" s="287"/>
      <c r="M29" s="287"/>
      <c r="N29" s="288"/>
      <c r="S29" s="127"/>
    </row>
    <row r="30" spans="2:82" ht="16.5" customHeight="1" thickBot="1" x14ac:dyDescent="0.3">
      <c r="B30" s="316" t="s">
        <v>445</v>
      </c>
      <c r="C30" s="317"/>
      <c r="D30" s="318"/>
      <c r="G30" s="325"/>
      <c r="H30" s="301"/>
      <c r="I30" s="302"/>
      <c r="K30" s="287"/>
      <c r="L30" s="287"/>
      <c r="M30" s="287"/>
      <c r="N30" s="288"/>
      <c r="S30" s="63"/>
    </row>
    <row r="31" spans="2:82" ht="15.75" thickBot="1" x14ac:dyDescent="0.3">
      <c r="B31" s="332" t="s">
        <v>446</v>
      </c>
      <c r="C31" s="333"/>
      <c r="D31" s="334"/>
      <c r="K31" s="287"/>
      <c r="L31" s="287"/>
      <c r="M31" s="287"/>
      <c r="N31" s="288"/>
      <c r="S31" s="63"/>
    </row>
    <row r="32" spans="2:82" ht="16.899999999999999" customHeight="1" thickBot="1" x14ac:dyDescent="0.3">
      <c r="B32" s="326" t="s">
        <v>449</v>
      </c>
      <c r="C32" s="327"/>
      <c r="D32" s="328"/>
      <c r="G32" s="329" t="s">
        <v>105</v>
      </c>
      <c r="H32" s="330"/>
      <c r="I32" s="331"/>
      <c r="K32" s="287">
        <v>2</v>
      </c>
      <c r="L32" s="287"/>
      <c r="M32" s="287"/>
      <c r="N32" s="288"/>
      <c r="S32" s="63"/>
    </row>
    <row r="33" spans="2:19" x14ac:dyDescent="0.25">
      <c r="B33" s="176"/>
      <c r="C33" s="176"/>
      <c r="D33" s="176"/>
      <c r="H33" s="88"/>
      <c r="I33" s="88"/>
      <c r="K33" s="287"/>
      <c r="L33" s="287"/>
      <c r="M33" s="287"/>
      <c r="N33" s="288"/>
      <c r="S33" s="63"/>
    </row>
    <row r="34" spans="2:19" ht="45" customHeight="1" x14ac:dyDescent="0.25">
      <c r="B34" s="313" t="s">
        <v>447</v>
      </c>
      <c r="C34" s="314"/>
      <c r="D34" s="315"/>
      <c r="G34" s="310" t="s">
        <v>105</v>
      </c>
      <c r="H34" s="311"/>
      <c r="I34" s="312"/>
      <c r="S34" s="63"/>
    </row>
    <row r="35" spans="2:19" ht="21.75" customHeight="1" thickBot="1" x14ac:dyDescent="0.3">
      <c r="B35" s="335"/>
      <c r="C35" s="335"/>
      <c r="D35" s="335"/>
      <c r="G35" s="174"/>
      <c r="H35" s="175"/>
      <c r="I35" s="175"/>
    </row>
    <row r="36" spans="2:19" ht="15.75" thickBot="1" x14ac:dyDescent="0.3">
      <c r="B36" s="322" t="s">
        <v>85</v>
      </c>
      <c r="C36" s="323"/>
      <c r="D36" s="324"/>
      <c r="G36" s="319" t="s">
        <v>185</v>
      </c>
      <c r="H36" s="320"/>
      <c r="I36" s="321"/>
    </row>
    <row r="37" spans="2:19" ht="15.75" thickBot="1" x14ac:dyDescent="0.3">
      <c r="B37" s="123"/>
      <c r="C37" s="146" t="s">
        <v>114</v>
      </c>
      <c r="D37" s="124" t="s">
        <v>115</v>
      </c>
      <c r="G37" s="161" t="s">
        <v>24</v>
      </c>
      <c r="H37" s="201">
        <v>0</v>
      </c>
      <c r="I37" s="94"/>
    </row>
    <row r="38" spans="2:19" x14ac:dyDescent="0.25">
      <c r="B38" s="96"/>
      <c r="C38" s="122"/>
      <c r="D38" s="98"/>
      <c r="G38" s="198" t="s">
        <v>187</v>
      </c>
      <c r="H38" s="126">
        <v>0</v>
      </c>
      <c r="I38" s="162"/>
      <c r="S38" s="128" t="s">
        <v>87</v>
      </c>
    </row>
    <row r="39" spans="2:19" x14ac:dyDescent="0.25">
      <c r="B39" s="145" t="s">
        <v>104</v>
      </c>
      <c r="C39" s="110">
        <v>8.4196641933833902</v>
      </c>
      <c r="D39" s="110">
        <v>16.83932838676678</v>
      </c>
      <c r="G39" s="278" t="s">
        <v>397</v>
      </c>
      <c r="H39" s="164">
        <v>0</v>
      </c>
      <c r="I39" s="118"/>
      <c r="L39" s="191" t="s">
        <v>129</v>
      </c>
      <c r="S39" s="128" t="s">
        <v>88</v>
      </c>
    </row>
    <row r="40" spans="2:19" x14ac:dyDescent="0.25">
      <c r="B40" s="96"/>
      <c r="C40" s="94"/>
      <c r="D40" s="111"/>
      <c r="G40" s="165" t="s">
        <v>11</v>
      </c>
      <c r="H40" s="166">
        <v>0</v>
      </c>
      <c r="I40" s="167" t="s">
        <v>110</v>
      </c>
    </row>
    <row r="41" spans="2:19" x14ac:dyDescent="0.25">
      <c r="B41" s="145" t="str">
        <f>IF(D12="-Select-", "", D12 &amp; " 1/3rd - 2/3rd:")</f>
        <v>MBH 1/3rd - 2/3rd:</v>
      </c>
      <c r="C41" s="110">
        <v>434.02734375000006</v>
      </c>
      <c r="D41" s="110">
        <v>868.05468750000011</v>
      </c>
      <c r="G41" s="163" t="s">
        <v>105</v>
      </c>
      <c r="H41" s="117">
        <v>0</v>
      </c>
      <c r="I41" s="168" t="s">
        <v>111</v>
      </c>
    </row>
    <row r="42" spans="2:19" ht="16.5" thickBot="1" x14ac:dyDescent="0.3">
      <c r="B42" s="125"/>
      <c r="C42" s="108"/>
      <c r="D42" s="108"/>
      <c r="G42" s="165" t="s">
        <v>109</v>
      </c>
      <c r="H42" s="166">
        <v>0</v>
      </c>
      <c r="I42" s="167" t="s">
        <v>111</v>
      </c>
    </row>
    <row r="43" spans="2:19" x14ac:dyDescent="0.25">
      <c r="C43" s="87"/>
      <c r="D43" s="88"/>
      <c r="G43" s="199" t="s">
        <v>188</v>
      </c>
      <c r="H43" s="195">
        <v>0</v>
      </c>
      <c r="I43" s="196" t="s">
        <v>186</v>
      </c>
    </row>
    <row r="44" spans="2:19" ht="15.75" thickBot="1" x14ac:dyDescent="0.3">
      <c r="G44" s="171"/>
      <c r="H44" s="172">
        <v>0</v>
      </c>
      <c r="I44" s="173"/>
    </row>
    <row r="45" spans="2:19" ht="23.25" customHeight="1" x14ac:dyDescent="0.25">
      <c r="G45" s="169"/>
      <c r="I45" s="170"/>
    </row>
    <row r="46" spans="2:19" ht="15.75" thickBot="1" x14ac:dyDescent="0.3">
      <c r="G46" s="171"/>
      <c r="H46" s="172"/>
      <c r="I46" s="173"/>
    </row>
    <row r="49" spans="2:9" ht="15.75" thickBot="1" x14ac:dyDescent="0.3"/>
    <row r="50" spans="2:9" ht="15.75" thickTop="1" x14ac:dyDescent="0.25">
      <c r="G50" s="183" t="s">
        <v>126</v>
      </c>
      <c r="H50" s="190">
        <v>5.1999998092651367</v>
      </c>
      <c r="I50" s="184"/>
    </row>
    <row r="51" spans="2:9" x14ac:dyDescent="0.25">
      <c r="B51" s="178"/>
      <c r="G51" s="187" t="s">
        <v>127</v>
      </c>
      <c r="H51" s="182">
        <v>45894</v>
      </c>
      <c r="I51" s="188"/>
    </row>
    <row r="52" spans="2:9" ht="15.75" thickBot="1" x14ac:dyDescent="0.3">
      <c r="G52" s="185" t="s">
        <v>128</v>
      </c>
      <c r="H52" s="189">
        <v>0</v>
      </c>
      <c r="I52" s="186"/>
    </row>
    <row r="53" spans="2:9" ht="15.75" thickTop="1" x14ac:dyDescent="0.25"/>
    <row r="58" spans="2:9" x14ac:dyDescent="0.25">
      <c r="B58"/>
    </row>
  </sheetData>
  <sheetProtection algorithmName="SHA-512" hashValue="UJXS+u19nDOhSy0VqAR8i4X5gEBZXFlp9M9puh17+fvDi0ctlgHdcwuBMHNCM8vGiW/+aapVSDlhHfrbsGxibA==" saltValue="yzTtkEB3YuWJeN82zV8RwA==" spinCount="100000" sheet="1" objects="1" scenarios="1" selectLockedCells="1" sort="0" autoFilter="0"/>
  <mergeCells count="19">
    <mergeCell ref="G34:I34"/>
    <mergeCell ref="B34:D34"/>
    <mergeCell ref="B30:D30"/>
    <mergeCell ref="G36:I36"/>
    <mergeCell ref="B36:D36"/>
    <mergeCell ref="G30:I30"/>
    <mergeCell ref="B32:D32"/>
    <mergeCell ref="G32:I32"/>
    <mergeCell ref="B31:D31"/>
    <mergeCell ref="B35:D35"/>
    <mergeCell ref="B3:D3"/>
    <mergeCell ref="H3:K3"/>
    <mergeCell ref="B17:D17"/>
    <mergeCell ref="B22:D22"/>
    <mergeCell ref="B8:C8"/>
    <mergeCell ref="B10:D10"/>
    <mergeCell ref="B6:C6"/>
    <mergeCell ref="B4:D4"/>
    <mergeCell ref="G22:I22"/>
  </mergeCells>
  <pageMargins left="0.7" right="0.7" top="0.75" bottom="0.75" header="0.3" footer="0.3"/>
  <pageSetup orientation="portrait" r:id="rId1"/>
  <drawing r:id="rId2"/>
  <legacyDrawing r:id="rId3"/>
  <controls>
    <mc:AlternateContent xmlns:mc="http://schemas.openxmlformats.org/markup-compatibility/2006">
      <mc:Choice Requires="x14">
        <control shapeId="1036" r:id="rId4" name="f_ValveSize">
          <controlPr defaultSize="0" autoLine="0" autoPict="0" linkedCell="H25" listFillRange="Valves!N2:N14" r:id="rId5">
            <anchor moveWithCells="1">
              <from>
                <xdr:col>7</xdr:col>
                <xdr:colOff>0</xdr:colOff>
                <xdr:row>24</xdr:row>
                <xdr:rowOff>9525</xdr:rowOff>
              </from>
              <to>
                <xdr:col>8</xdr:col>
                <xdr:colOff>142875</xdr:colOff>
                <xdr:row>24</xdr:row>
                <xdr:rowOff>228600</xdr:rowOff>
              </to>
            </anchor>
          </controlPr>
        </control>
      </mc:Choice>
      <mc:Fallback>
        <control shapeId="1036" r:id="rId4" name="f_ValveSize"/>
      </mc:Fallback>
    </mc:AlternateContent>
    <mc:AlternateContent xmlns:mc="http://schemas.openxmlformats.org/markup-compatibility/2006">
      <mc:Choice Requires="x14">
        <control shapeId="1035" r:id="rId6" name="f_PipeSize">
          <controlPr defaultSize="0" autoLine="0" autoPict="0" linkedCell="H24" listFillRange="Valves!N2:N14" r:id="rId7">
            <anchor moveWithCells="1">
              <from>
                <xdr:col>7</xdr:col>
                <xdr:colOff>0</xdr:colOff>
                <xdr:row>23</xdr:row>
                <xdr:rowOff>0</xdr:rowOff>
              </from>
              <to>
                <xdr:col>8</xdr:col>
                <xdr:colOff>142875</xdr:colOff>
                <xdr:row>24</xdr:row>
                <xdr:rowOff>0</xdr:rowOff>
              </to>
            </anchor>
          </controlPr>
        </control>
      </mc:Choice>
      <mc:Fallback>
        <control shapeId="1035" r:id="rId6" name="f_PipeSize"/>
      </mc:Fallback>
    </mc:AlternateContent>
    <mc:AlternateContent xmlns:mc="http://schemas.openxmlformats.org/markup-compatibility/2006">
      <mc:Choice Requires="x14">
        <control shapeId="1031" r:id="rId8" name="f_AP">
          <controlPr locked="0" defaultSize="0" autoLine="0" autoPict="0" linkedCell="D15" listFillRange="BarometricPressure!C2:C52" r:id="rId9">
            <anchor moveWithCells="1">
              <from>
                <xdr:col>3</xdr:col>
                <xdr:colOff>76200</xdr:colOff>
                <xdr:row>14</xdr:row>
                <xdr:rowOff>19050</xdr:rowOff>
              </from>
              <to>
                <xdr:col>3</xdr:col>
                <xdr:colOff>1171575</xdr:colOff>
                <xdr:row>15</xdr:row>
                <xdr:rowOff>0</xdr:rowOff>
              </to>
            </anchor>
          </controlPr>
        </control>
      </mc:Choice>
      <mc:Fallback>
        <control shapeId="1031" r:id="rId8" name="f_AP"/>
      </mc:Fallback>
    </mc:AlternateContent>
    <mc:AlternateContent xmlns:mc="http://schemas.openxmlformats.org/markup-compatibility/2006">
      <mc:Choice Requires="x14">
        <control shapeId="1030" r:id="rId10" name="f_FlowRate">
          <controlPr locked="0" defaultSize="0" autoLine="0" autoPict="0" linkedCell="D12" listFillRange="Config!O2:O5" r:id="rId11">
            <anchor moveWithCells="1">
              <from>
                <xdr:col>3</xdr:col>
                <xdr:colOff>85725</xdr:colOff>
                <xdr:row>11</xdr:row>
                <xdr:rowOff>9525</xdr:rowOff>
              </from>
              <to>
                <xdr:col>3</xdr:col>
                <xdr:colOff>1181100</xdr:colOff>
                <xdr:row>11</xdr:row>
                <xdr:rowOff>228600</xdr:rowOff>
              </to>
            </anchor>
          </controlPr>
        </control>
      </mc:Choice>
      <mc:Fallback>
        <control shapeId="1030" r:id="rId10" name="f_FlowRate"/>
      </mc:Fallback>
    </mc:AlternateContent>
    <mc:AlternateContent xmlns:mc="http://schemas.openxmlformats.org/markup-compatibility/2006">
      <mc:Choice Requires="x14">
        <control shapeId="1029" r:id="rId12" name="f_CTRL">
          <controlPr locked="0" defaultSize="0" autoLine="0" autoPict="0" linkedCell="D8" listFillRange="Config!N2:N3" r:id="rId13">
            <anchor moveWithCells="1">
              <from>
                <xdr:col>3</xdr:col>
                <xdr:colOff>47625</xdr:colOff>
                <xdr:row>6</xdr:row>
                <xdr:rowOff>200025</xdr:rowOff>
              </from>
              <to>
                <xdr:col>3</xdr:col>
                <xdr:colOff>1428750</xdr:colOff>
                <xdr:row>8</xdr:row>
                <xdr:rowOff>38100</xdr:rowOff>
              </to>
            </anchor>
          </controlPr>
        </control>
      </mc:Choice>
      <mc:Fallback>
        <control shapeId="1029" r:id="rId12" name="f_CTRL"/>
      </mc:Fallback>
    </mc:AlternateContent>
    <mc:AlternateContent xmlns:mc="http://schemas.openxmlformats.org/markup-compatibility/2006">
      <mc:Choice Requires="x14">
        <control shapeId="1027" r:id="rId14" name="f_Application">
          <controlPr locked="0" defaultSize="0" autoLine="0" linkedCell="D6" listFillRange="Config!M2:M5" r:id="rId15">
            <anchor moveWithCells="1">
              <from>
                <xdr:col>3</xdr:col>
                <xdr:colOff>47625</xdr:colOff>
                <xdr:row>5</xdr:row>
                <xdr:rowOff>9525</xdr:rowOff>
              </from>
              <to>
                <xdr:col>3</xdr:col>
                <xdr:colOff>1428750</xdr:colOff>
                <xdr:row>6</xdr:row>
                <xdr:rowOff>76200</xdr:rowOff>
              </to>
            </anchor>
          </controlPr>
        </control>
      </mc:Choice>
      <mc:Fallback>
        <control shapeId="1027" r:id="rId14" name="f_Application"/>
      </mc:Fallback>
    </mc:AlternateContent>
    <mc:AlternateContent xmlns:mc="http://schemas.openxmlformats.org/markup-compatibility/2006">
      <mc:Choice Requires="x14">
        <control shapeId="1032" r:id="rId16" name="f_PSI">
          <controlPr locked="0" defaultSize="0" autoLine="0" autoPict="0" linkedCell="D14" listFillRange="Config!P2:P5" r:id="rId17">
            <anchor moveWithCells="1">
              <from>
                <xdr:col>3</xdr:col>
                <xdr:colOff>85725</xdr:colOff>
                <xdr:row>13</xdr:row>
                <xdr:rowOff>0</xdr:rowOff>
              </from>
              <to>
                <xdr:col>3</xdr:col>
                <xdr:colOff>1181100</xdr:colOff>
                <xdr:row>13</xdr:row>
                <xdr:rowOff>219075</xdr:rowOff>
              </to>
            </anchor>
          </controlPr>
        </control>
      </mc:Choice>
      <mc:Fallback>
        <control shapeId="1032" r:id="rId16" name="f_PSI"/>
      </mc:Fallback>
    </mc:AlternateContent>
    <mc:AlternateContent xmlns:mc="http://schemas.openxmlformats.org/markup-compatibility/2006">
      <mc:Choice Requires="x14">
        <control shapeId="1033" r:id="rId18" name="f_ValveType">
          <controlPr defaultSize="0" autoLine="0" autoPict="0" linkedCell="H23" listFillRange="Config!Q2:Q7" r:id="rId19">
            <anchor moveWithCells="1">
              <from>
                <xdr:col>7</xdr:col>
                <xdr:colOff>0</xdr:colOff>
                <xdr:row>22</xdr:row>
                <xdr:rowOff>9525</xdr:rowOff>
              </from>
              <to>
                <xdr:col>8</xdr:col>
                <xdr:colOff>142875</xdr:colOff>
                <xdr:row>23</xdr:row>
                <xdr:rowOff>9525</xdr:rowOff>
              </to>
            </anchor>
          </controlPr>
        </control>
      </mc:Choice>
      <mc:Fallback>
        <control shapeId="1033" r:id="rId18" name="f_ValveType"/>
      </mc:Fallback>
    </mc:AlternateContent>
    <mc:AlternateContent xmlns:mc="http://schemas.openxmlformats.org/markup-compatibility/2006">
      <mc:Choice Requires="x14">
        <control shapeId="1034" r:id="rId20" name="f_SteamType">
          <controlPr defaultSize="0" autoLine="0" autoPict="0" linkedCell="H26" listFillRange="Config!R2:R3" r:id="rId21">
            <anchor moveWithCells="1">
              <from>
                <xdr:col>7</xdr:col>
                <xdr:colOff>0</xdr:colOff>
                <xdr:row>24</xdr:row>
                <xdr:rowOff>238125</xdr:rowOff>
              </from>
              <to>
                <xdr:col>8</xdr:col>
                <xdr:colOff>142875</xdr:colOff>
                <xdr:row>25</xdr:row>
                <xdr:rowOff>200025</xdr:rowOff>
              </to>
            </anchor>
          </controlPr>
        </control>
      </mc:Choice>
      <mc:Fallback>
        <control shapeId="1034" r:id="rId20" name="f_SteamTyp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C36A-9F6C-40BE-8763-5D86F613AA7D}">
  <sheetPr codeName="Sheet17">
    <tabColor theme="9" tint="-0.249977111117893"/>
  </sheetPr>
  <dimension ref="A1:Q4"/>
  <sheetViews>
    <sheetView showRowColHeaders="0" topLeftCell="D1" workbookViewId="0">
      <selection activeCell="Q2" sqref="Q2"/>
      <extLst>
        <ext xmlns:xlsdti="http://schemas.microsoft.com/office/spreadsheetml/2023/showDataTypeIcons" uri="{77bfe23e-c014-4d31-8a63-9c772dbf06b6}">
          <xlsdti:showDataTypeIcons visible="0"/>
        </ext>
      </extLst>
    </sheetView>
  </sheetViews>
  <sheetFormatPr defaultRowHeight="12.75" x14ac:dyDescent="0.2"/>
  <cols>
    <col min="1" max="1" width="17.42578125" style="67" customWidth="1"/>
    <col min="2" max="2" width="28" style="67" customWidth="1"/>
    <col min="3" max="3" width="12.140625" style="67" customWidth="1"/>
    <col min="4" max="4" width="11.140625" style="67" customWidth="1"/>
    <col min="5" max="5" width="9.140625" style="67"/>
    <col min="6" max="6" width="10.7109375" style="67" customWidth="1"/>
    <col min="7" max="7" width="12" style="67" customWidth="1"/>
    <col min="8" max="8" width="10.28515625" style="67" customWidth="1"/>
    <col min="9" max="9" width="13.42578125" style="67" customWidth="1"/>
    <col min="10" max="10" width="13.7109375" style="67" customWidth="1"/>
    <col min="11" max="11" width="13.28515625" style="67" customWidth="1"/>
    <col min="12" max="12" width="24.42578125" style="67" customWidth="1"/>
    <col min="13" max="13" width="11" style="200" customWidth="1"/>
    <col min="16" max="16" width="37.85546875" customWidth="1"/>
  </cols>
  <sheetData>
    <row r="1" spans="1:17" s="67" customFormat="1" ht="37.5" customHeight="1" x14ac:dyDescent="0.2">
      <c r="A1" s="154" t="s">
        <v>107</v>
      </c>
      <c r="B1" s="154" t="s">
        <v>91</v>
      </c>
      <c r="C1" s="154" t="s">
        <v>92</v>
      </c>
      <c r="D1" s="155" t="s">
        <v>121</v>
      </c>
      <c r="E1" s="154" t="s">
        <v>108</v>
      </c>
      <c r="F1" s="155" t="s">
        <v>122</v>
      </c>
      <c r="G1" s="154" t="s">
        <v>108</v>
      </c>
      <c r="H1" s="155" t="s">
        <v>123</v>
      </c>
      <c r="I1" s="154" t="s">
        <v>108</v>
      </c>
      <c r="J1" s="155" t="s">
        <v>125</v>
      </c>
      <c r="K1" s="155" t="s">
        <v>124</v>
      </c>
      <c r="L1" s="154" t="s">
        <v>27</v>
      </c>
      <c r="M1" s="157" t="s">
        <v>106</v>
      </c>
      <c r="N1" s="157" t="s">
        <v>120</v>
      </c>
      <c r="Q1" s="67">
        <v>0</v>
      </c>
    </row>
    <row r="2" spans="1:17" x14ac:dyDescent="0.2">
      <c r="A2" s="181"/>
      <c r="B2" s="181"/>
      <c r="C2" s="181"/>
      <c r="D2" s="181"/>
      <c r="E2" s="181"/>
      <c r="F2" s="181"/>
      <c r="G2"/>
      <c r="H2"/>
      <c r="I2"/>
      <c r="J2"/>
      <c r="K2"/>
      <c r="L2"/>
      <c r="M2"/>
    </row>
    <row r="3" spans="1:17" x14ac:dyDescent="0.2">
      <c r="A3" s="181"/>
      <c r="B3" s="181"/>
      <c r="C3" s="181"/>
      <c r="D3" s="181"/>
      <c r="E3" s="181"/>
      <c r="F3" s="181"/>
      <c r="G3"/>
      <c r="H3"/>
      <c r="I3"/>
      <c r="J3"/>
      <c r="K3"/>
      <c r="L3"/>
      <c r="M3"/>
    </row>
    <row r="4" spans="1:17" x14ac:dyDescent="0.2">
      <c r="A4" s="181"/>
      <c r="B4" s="181"/>
      <c r="C4" s="181"/>
      <c r="D4" s="181"/>
      <c r="E4" s="181"/>
      <c r="F4" s="181"/>
      <c r="G4"/>
      <c r="H4"/>
      <c r="I4"/>
      <c r="J4"/>
      <c r="K4"/>
      <c r="L4"/>
      <c r="M4"/>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C7D41-8270-4FA8-9491-66C6719863BC}">
  <sheetPr codeName="Sheet3"/>
  <dimension ref="A1:AF102"/>
  <sheetViews>
    <sheetView showGridLines="0" showRowColHeaders="0" zoomScale="110" zoomScaleNormal="110" workbookViewId="0">
      <pane ySplit="3" topLeftCell="A4" activePane="bottomLeft" state="frozen"/>
      <selection pane="bottomLeft" activeCell="A4" sqref="A4"/>
      <extLst>
        <ext xmlns:xlsdti="http://schemas.microsoft.com/office/spreadsheetml/2023/showDataTypeIcons" uri="{77bfe23e-c014-4d31-8a63-9c772dbf06b6}">
          <xlsdti:showDataTypeIcons visible="0"/>
        </ext>
      </extLst>
    </sheetView>
  </sheetViews>
  <sheetFormatPr defaultRowHeight="12.75" x14ac:dyDescent="0.2"/>
  <cols>
    <col min="1" max="1" width="38.5703125" style="181" bestFit="1" customWidth="1"/>
    <col min="2" max="2" width="19.140625" style="181" bestFit="1" customWidth="1"/>
    <col min="3" max="3" width="127.5703125" style="181" bestFit="1" customWidth="1"/>
    <col min="4" max="4" width="19.5703125" style="181" bestFit="1" customWidth="1"/>
    <col min="5" max="5" width="18.7109375" style="181" bestFit="1" customWidth="1"/>
    <col min="6" max="6" width="16" style="181" bestFit="1" customWidth="1"/>
    <col min="7" max="7" width="22" style="181" bestFit="1" customWidth="1"/>
    <col min="8" max="8" width="86.85546875" bestFit="1" customWidth="1"/>
    <col min="9" max="9" width="15" customWidth="1"/>
    <col min="10" max="10" width="21.28515625" customWidth="1"/>
    <col min="11" max="11" width="25" bestFit="1" customWidth="1"/>
    <col min="12" max="12" width="26" bestFit="1" customWidth="1"/>
    <col min="13" max="13" width="23.28515625" bestFit="1" customWidth="1"/>
    <col min="14" max="14" width="25" bestFit="1" customWidth="1"/>
    <col min="15" max="15" width="23.28515625" bestFit="1" customWidth="1"/>
    <col min="16" max="16" width="25" bestFit="1" customWidth="1"/>
    <col min="17" max="20" width="23.28515625" bestFit="1" customWidth="1"/>
    <col min="21" max="21" width="24.28515625" bestFit="1" customWidth="1"/>
    <col min="22" max="22" width="25.28515625" bestFit="1" customWidth="1"/>
    <col min="23" max="23" width="22.7109375" bestFit="1" customWidth="1"/>
    <col min="24" max="24" width="24.28515625" bestFit="1" customWidth="1"/>
    <col min="25" max="25" width="22.7109375" bestFit="1" customWidth="1"/>
    <col min="26" max="26" width="24.28515625" bestFit="1" customWidth="1"/>
    <col min="27" max="31" width="22.7109375" bestFit="1" customWidth="1"/>
    <col min="32" max="32" width="23.7109375" bestFit="1" customWidth="1"/>
  </cols>
  <sheetData>
    <row r="1" spans="1:32" ht="24.75" customHeight="1" x14ac:dyDescent="0.2">
      <c r="A1" s="276" t="s">
        <v>310</v>
      </c>
    </row>
    <row r="2" spans="1:32" x14ac:dyDescent="0.2">
      <c r="A2" s="268" t="s">
        <v>325</v>
      </c>
      <c r="B2" s="268" t="s">
        <v>326</v>
      </c>
      <c r="C2" s="268" t="s">
        <v>327</v>
      </c>
      <c r="D2" s="268" t="s">
        <v>328</v>
      </c>
      <c r="E2" s="268" t="s">
        <v>329</v>
      </c>
      <c r="F2" s="268" t="s">
        <v>297</v>
      </c>
      <c r="G2" s="268" t="s">
        <v>317</v>
      </c>
    </row>
    <row r="3" spans="1:32" x14ac:dyDescent="0.2">
      <c r="A3" s="266">
        <v>10000</v>
      </c>
      <c r="B3" s="266">
        <v>15</v>
      </c>
      <c r="C3" s="266">
        <v>5</v>
      </c>
      <c r="D3" s="266">
        <v>300</v>
      </c>
      <c r="E3" s="266">
        <v>217.22</v>
      </c>
      <c r="F3" s="181" t="s">
        <v>287</v>
      </c>
      <c r="G3" s="181">
        <v>20.38</v>
      </c>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row>
    <row r="4" spans="1:32" x14ac:dyDescent="0.2">
      <c r="A4" s="268" t="s">
        <v>311</v>
      </c>
      <c r="B4" s="268" t="s">
        <v>312</v>
      </c>
      <c r="C4" s="268" t="s">
        <v>313</v>
      </c>
      <c r="D4" s="268" t="s">
        <v>314</v>
      </c>
      <c r="E4" s="268" t="s">
        <v>315</v>
      </c>
      <c r="F4" s="268" t="s">
        <v>316</v>
      </c>
      <c r="G4" s="268" t="s">
        <v>317</v>
      </c>
      <c r="H4" s="181"/>
      <c r="I4" s="181"/>
      <c r="J4" s="181"/>
      <c r="K4" s="181"/>
      <c r="L4" s="181"/>
      <c r="M4" s="181"/>
      <c r="N4" s="181"/>
      <c r="O4" s="181"/>
      <c r="P4" s="181"/>
      <c r="Q4" s="181"/>
      <c r="R4" s="181"/>
      <c r="S4" s="181"/>
      <c r="T4" s="181"/>
      <c r="U4" s="181"/>
      <c r="V4" s="181"/>
      <c r="W4" s="181"/>
      <c r="X4" s="181"/>
      <c r="Y4" s="181"/>
      <c r="Z4" s="181"/>
      <c r="AA4" s="181"/>
      <c r="AB4" s="181"/>
      <c r="AC4" s="181"/>
      <c r="AD4" s="181"/>
      <c r="AE4" s="181"/>
      <c r="AF4" s="181"/>
    </row>
    <row r="5" spans="1:32" x14ac:dyDescent="0.2">
      <c r="A5" s="266" t="s">
        <v>229</v>
      </c>
      <c r="B5" s="266">
        <v>282.17</v>
      </c>
      <c r="C5" s="266" t="s">
        <v>414</v>
      </c>
      <c r="D5" s="266">
        <v>5.88</v>
      </c>
      <c r="E5" s="266">
        <v>237.49</v>
      </c>
      <c r="F5" s="267" t="s">
        <v>318</v>
      </c>
      <c r="G5" s="266">
        <v>20.38</v>
      </c>
      <c r="H5" s="181"/>
      <c r="I5" s="181"/>
      <c r="J5" s="181"/>
      <c r="K5" s="181"/>
      <c r="L5" s="181"/>
      <c r="M5" s="181"/>
      <c r="N5" s="181"/>
      <c r="O5" s="181"/>
      <c r="P5" s="181"/>
      <c r="Q5" s="181"/>
      <c r="R5" s="181"/>
      <c r="S5" s="181"/>
      <c r="T5" s="181"/>
      <c r="U5" s="181"/>
      <c r="V5" s="181"/>
      <c r="W5" s="181"/>
      <c r="X5" s="181"/>
      <c r="Y5" s="181"/>
      <c r="Z5" s="181"/>
      <c r="AA5" s="181"/>
      <c r="AB5" s="181"/>
      <c r="AC5" s="181"/>
      <c r="AD5" s="181"/>
      <c r="AE5" s="181"/>
      <c r="AF5" s="181"/>
    </row>
    <row r="6" spans="1:32" x14ac:dyDescent="0.2">
      <c r="A6" s="268" t="s">
        <v>334</v>
      </c>
      <c r="B6" s="268" t="s">
        <v>319</v>
      </c>
      <c r="C6" s="268" t="s">
        <v>320</v>
      </c>
      <c r="D6" s="268" t="s">
        <v>321</v>
      </c>
      <c r="E6" s="268" t="s">
        <v>315</v>
      </c>
      <c r="F6" s="268" t="s">
        <v>322</v>
      </c>
      <c r="H6" s="181"/>
      <c r="I6" s="181"/>
      <c r="J6" s="181"/>
      <c r="K6" s="181"/>
      <c r="L6" s="181"/>
      <c r="M6" s="181"/>
      <c r="N6" s="181"/>
      <c r="O6" s="181"/>
      <c r="P6" s="181"/>
      <c r="Q6" s="181"/>
      <c r="R6" s="181"/>
      <c r="S6" s="181"/>
      <c r="T6" s="181"/>
      <c r="U6" s="181"/>
      <c r="V6" s="181"/>
      <c r="W6" s="181"/>
      <c r="X6" s="181"/>
      <c r="Y6" s="181"/>
      <c r="Z6" s="181"/>
      <c r="AA6" s="181"/>
      <c r="AB6" s="181"/>
      <c r="AC6" s="181"/>
      <c r="AD6" s="181"/>
      <c r="AE6" s="181"/>
      <c r="AF6" s="181"/>
    </row>
    <row r="7" spans="1:32" x14ac:dyDescent="0.2">
      <c r="A7" s="266" t="s">
        <v>415</v>
      </c>
      <c r="B7" s="266">
        <v>738.09413466176397</v>
      </c>
      <c r="C7" s="266" t="s">
        <v>416</v>
      </c>
      <c r="D7" s="266">
        <v>0.56299999999999994</v>
      </c>
      <c r="E7" s="266">
        <v>237.49</v>
      </c>
      <c r="F7" s="266" t="s">
        <v>318</v>
      </c>
      <c r="H7" s="181"/>
      <c r="I7" s="181"/>
      <c r="J7" s="181"/>
      <c r="K7" s="181"/>
      <c r="L7" s="181"/>
      <c r="M7" s="181"/>
      <c r="N7" s="181"/>
      <c r="O7" s="181"/>
      <c r="P7" s="181"/>
      <c r="Q7" s="181"/>
      <c r="R7" s="181"/>
      <c r="S7" s="181"/>
      <c r="T7" s="181"/>
      <c r="U7" s="181"/>
      <c r="V7" s="181"/>
      <c r="W7" s="181"/>
      <c r="X7" s="181"/>
      <c r="Y7" s="181"/>
      <c r="Z7" s="181"/>
      <c r="AA7" s="181"/>
      <c r="AB7" s="181"/>
      <c r="AC7" s="181"/>
      <c r="AD7" s="181"/>
      <c r="AE7" s="181"/>
      <c r="AF7" s="181"/>
    </row>
    <row r="8" spans="1:32" x14ac:dyDescent="0.2">
      <c r="A8" s="268" t="s">
        <v>335</v>
      </c>
      <c r="B8" s="268" t="s">
        <v>319</v>
      </c>
      <c r="C8" s="268" t="s">
        <v>320</v>
      </c>
      <c r="D8" s="268" t="s">
        <v>321</v>
      </c>
      <c r="E8" s="268" t="s">
        <v>324</v>
      </c>
      <c r="F8" s="268" t="s">
        <v>322</v>
      </c>
      <c r="H8" s="181"/>
      <c r="I8" s="181"/>
      <c r="J8" s="181"/>
      <c r="K8" s="181"/>
      <c r="L8" s="181"/>
      <c r="M8" s="181"/>
      <c r="N8" s="181"/>
      <c r="O8" s="181"/>
      <c r="P8" s="181"/>
      <c r="Q8" s="181"/>
      <c r="R8" s="181"/>
      <c r="S8" s="181"/>
      <c r="T8" s="181"/>
      <c r="U8" s="181"/>
      <c r="V8" s="181"/>
      <c r="W8" s="181"/>
      <c r="X8" s="181"/>
      <c r="Y8" s="181"/>
      <c r="Z8" s="181"/>
      <c r="AA8" s="181"/>
      <c r="AB8" s="181"/>
      <c r="AC8" s="181"/>
      <c r="AD8" s="181"/>
      <c r="AE8" s="181"/>
      <c r="AF8" s="181"/>
    </row>
    <row r="9" spans="1:32" x14ac:dyDescent="0.2">
      <c r="A9" s="265" t="s">
        <v>336</v>
      </c>
      <c r="B9" s="269">
        <v>296818.57555781002</v>
      </c>
      <c r="C9" s="265" t="s">
        <v>417</v>
      </c>
      <c r="D9" s="269">
        <v>226.45</v>
      </c>
      <c r="E9" s="265">
        <v>0.187</v>
      </c>
      <c r="F9" s="265" t="s">
        <v>318</v>
      </c>
      <c r="H9" s="181"/>
      <c r="I9" s="181"/>
      <c r="J9" s="181"/>
      <c r="K9" s="181"/>
      <c r="L9" s="181"/>
      <c r="M9" s="181"/>
      <c r="N9" s="181"/>
      <c r="O9" s="181"/>
      <c r="P9" s="181"/>
      <c r="Q9" s="181"/>
      <c r="R9" s="181"/>
      <c r="S9" s="181"/>
      <c r="T9" s="181"/>
      <c r="U9" s="181"/>
      <c r="V9" s="181"/>
      <c r="W9" s="181"/>
      <c r="X9" s="181"/>
      <c r="Y9" s="181"/>
      <c r="Z9" s="181"/>
      <c r="AA9" s="181"/>
      <c r="AB9" s="181"/>
      <c r="AC9" s="181"/>
      <c r="AD9" s="181"/>
      <c r="AE9" s="181"/>
      <c r="AF9" s="181"/>
    </row>
    <row r="10" spans="1:32" x14ac:dyDescent="0.2">
      <c r="A10" s="265" t="s">
        <v>337</v>
      </c>
      <c r="B10" s="269">
        <v>131450.32064792799</v>
      </c>
      <c r="C10" s="265" t="s">
        <v>418</v>
      </c>
      <c r="D10" s="269">
        <v>100.28700000000001</v>
      </c>
      <c r="E10" s="265">
        <v>0.28100000000000003</v>
      </c>
      <c r="F10" s="265" t="s">
        <v>318</v>
      </c>
      <c r="H10" s="181"/>
      <c r="I10" s="181"/>
      <c r="J10" s="181"/>
      <c r="K10" s="181"/>
      <c r="L10" s="181"/>
      <c r="M10" s="181"/>
      <c r="N10" s="181"/>
      <c r="O10" s="181"/>
      <c r="P10" s="181"/>
      <c r="Q10" s="181"/>
      <c r="R10" s="181"/>
      <c r="S10" s="181"/>
      <c r="T10" s="181"/>
      <c r="U10" s="181"/>
      <c r="V10" s="181"/>
      <c r="W10" s="181"/>
      <c r="X10" s="181"/>
      <c r="Y10" s="181"/>
      <c r="Z10" s="181"/>
      <c r="AA10" s="181"/>
      <c r="AB10" s="181"/>
      <c r="AC10" s="181"/>
      <c r="AD10" s="181"/>
      <c r="AE10" s="181"/>
      <c r="AF10" s="181"/>
    </row>
    <row r="11" spans="1:32" x14ac:dyDescent="0.2">
      <c r="A11" s="265" t="s">
        <v>338</v>
      </c>
      <c r="B11" s="269">
        <v>73809.413466176396</v>
      </c>
      <c r="C11" s="265" t="s">
        <v>419</v>
      </c>
      <c r="D11" s="269">
        <v>56.311</v>
      </c>
      <c r="E11" s="265">
        <v>0.375</v>
      </c>
      <c r="F11" s="265" t="s">
        <v>318</v>
      </c>
      <c r="H11" s="181"/>
      <c r="I11" s="181"/>
      <c r="J11" s="181"/>
      <c r="K11" s="181"/>
      <c r="L11" s="181"/>
      <c r="M11" s="181"/>
      <c r="N11" s="181"/>
      <c r="O11" s="181"/>
      <c r="P11" s="181"/>
      <c r="Q11" s="181"/>
      <c r="R11" s="181"/>
      <c r="S11" s="181"/>
      <c r="T11" s="181"/>
      <c r="U11" s="181"/>
      <c r="V11" s="181"/>
      <c r="W11" s="181"/>
      <c r="X11" s="181"/>
      <c r="Y11" s="181"/>
      <c r="Z11" s="181"/>
      <c r="AA11" s="181"/>
      <c r="AB11" s="181"/>
      <c r="AC11" s="181"/>
      <c r="AD11" s="181"/>
      <c r="AE11" s="181"/>
      <c r="AF11" s="181"/>
    </row>
    <row r="12" spans="1:32" x14ac:dyDescent="0.2">
      <c r="A12" s="265" t="s">
        <v>339</v>
      </c>
      <c r="B12" s="269">
        <v>41517.795074724199</v>
      </c>
      <c r="C12" s="265" t="s">
        <v>420</v>
      </c>
      <c r="D12" s="269">
        <v>31.675000000000001</v>
      </c>
      <c r="E12" s="265">
        <v>0.5</v>
      </c>
      <c r="F12" s="265" t="s">
        <v>318</v>
      </c>
      <c r="H12" s="181"/>
      <c r="I12" s="181"/>
      <c r="J12" s="181"/>
      <c r="K12" s="181"/>
      <c r="L12" s="181"/>
      <c r="M12" s="181"/>
      <c r="N12" s="181"/>
      <c r="O12" s="181"/>
      <c r="P12" s="181"/>
      <c r="Q12" s="181"/>
      <c r="R12" s="181"/>
      <c r="S12" s="181"/>
      <c r="T12" s="181"/>
      <c r="U12" s="181"/>
      <c r="V12" s="181"/>
      <c r="W12" s="181"/>
      <c r="X12" s="181"/>
      <c r="Y12" s="181"/>
      <c r="Z12" s="181"/>
      <c r="AA12" s="181"/>
      <c r="AB12" s="181"/>
      <c r="AC12" s="181"/>
      <c r="AD12" s="181"/>
      <c r="AE12" s="181"/>
      <c r="AF12" s="181"/>
    </row>
    <row r="13" spans="1:32" x14ac:dyDescent="0.2">
      <c r="A13" s="265" t="s">
        <v>340</v>
      </c>
      <c r="B13" s="269">
        <v>22446.9047765594</v>
      </c>
      <c r="C13" s="265" t="s">
        <v>421</v>
      </c>
      <c r="D13" s="269">
        <v>17.125</v>
      </c>
      <c r="E13" s="265">
        <v>0.68</v>
      </c>
      <c r="F13" s="265" t="s">
        <v>318</v>
      </c>
      <c r="H13" s="181"/>
      <c r="I13" s="181"/>
      <c r="J13" s="181"/>
      <c r="K13" s="181"/>
      <c r="L13" s="181"/>
      <c r="M13" s="181"/>
      <c r="N13" s="181"/>
      <c r="O13" s="181"/>
      <c r="P13" s="181"/>
      <c r="Q13" s="181"/>
      <c r="R13" s="181"/>
      <c r="S13" s="181"/>
      <c r="T13" s="181"/>
      <c r="U13" s="181"/>
      <c r="V13" s="181"/>
      <c r="W13" s="181"/>
      <c r="X13" s="181"/>
      <c r="Y13" s="181"/>
      <c r="Z13" s="181"/>
      <c r="AA13" s="181"/>
      <c r="AB13" s="181"/>
      <c r="AC13" s="181"/>
      <c r="AD13" s="181"/>
      <c r="AE13" s="181"/>
      <c r="AF13" s="181"/>
    </row>
    <row r="14" spans="1:32" x14ac:dyDescent="0.2">
      <c r="A14" s="265" t="s">
        <v>341</v>
      </c>
      <c r="B14" s="269">
        <v>14033.867994430801</v>
      </c>
      <c r="C14" s="265" t="s">
        <v>422</v>
      </c>
      <c r="D14" s="269">
        <v>10.707000000000001</v>
      </c>
      <c r="E14" s="265">
        <v>0.86</v>
      </c>
      <c r="F14" s="265" t="s">
        <v>318</v>
      </c>
      <c r="H14" s="181"/>
      <c r="I14" s="181"/>
      <c r="J14" s="181"/>
      <c r="K14" s="181"/>
      <c r="L14" s="181"/>
      <c r="M14" s="181"/>
      <c r="N14" s="181"/>
      <c r="O14" s="181"/>
      <c r="P14" s="181"/>
      <c r="Q14" s="181"/>
      <c r="R14" s="181"/>
      <c r="S14" s="181"/>
      <c r="T14" s="181"/>
      <c r="U14" s="181"/>
      <c r="V14" s="181"/>
      <c r="W14" s="181"/>
      <c r="X14" s="181"/>
      <c r="Y14" s="181"/>
      <c r="Z14" s="181"/>
      <c r="AA14" s="181"/>
      <c r="AB14" s="181"/>
      <c r="AC14" s="181"/>
      <c r="AD14" s="181"/>
      <c r="AE14" s="181"/>
      <c r="AF14" s="181"/>
    </row>
    <row r="15" spans="1:32" x14ac:dyDescent="0.2">
      <c r="A15" s="265" t="s">
        <v>342</v>
      </c>
      <c r="B15" s="269">
        <v>13713.1044638407</v>
      </c>
      <c r="C15" s="265" t="s">
        <v>423</v>
      </c>
      <c r="D15" s="269">
        <v>10.462</v>
      </c>
      <c r="E15" s="265">
        <v>0.87</v>
      </c>
      <c r="F15" s="265" t="s">
        <v>318</v>
      </c>
      <c r="H15" s="181"/>
      <c r="I15" s="181"/>
      <c r="J15" s="181"/>
      <c r="K15" s="181"/>
      <c r="L15" s="181"/>
      <c r="M15" s="181"/>
      <c r="N15" s="181"/>
      <c r="O15" s="181"/>
      <c r="P15" s="181"/>
      <c r="Q15" s="181"/>
      <c r="R15" s="181"/>
      <c r="S15" s="181"/>
      <c r="T15" s="181"/>
      <c r="U15" s="181"/>
      <c r="V15" s="181"/>
      <c r="W15" s="181"/>
      <c r="X15" s="181"/>
      <c r="Y15" s="181"/>
      <c r="Z15" s="181"/>
      <c r="AA15" s="181"/>
      <c r="AB15" s="181"/>
      <c r="AC15" s="181"/>
      <c r="AD15" s="181"/>
      <c r="AE15" s="181"/>
      <c r="AF15" s="181"/>
    </row>
    <row r="16" spans="1:32" x14ac:dyDescent="0.2">
      <c r="A16" s="265" t="s">
        <v>343</v>
      </c>
      <c r="B16" s="269">
        <v>10379.448768681101</v>
      </c>
      <c r="C16" s="265" t="s">
        <v>424</v>
      </c>
      <c r="D16" s="269">
        <v>7.9189999999999996</v>
      </c>
      <c r="E16" s="265">
        <v>1</v>
      </c>
      <c r="F16" s="265" t="s">
        <v>318</v>
      </c>
      <c r="H16" s="181"/>
      <c r="I16" s="181"/>
      <c r="J16" s="181"/>
      <c r="K16" s="181"/>
      <c r="L16" s="181"/>
      <c r="M16" s="181"/>
      <c r="N16" s="181"/>
      <c r="O16" s="181"/>
      <c r="P16" s="181"/>
      <c r="Q16" s="181"/>
      <c r="R16" s="181"/>
      <c r="S16" s="181"/>
      <c r="T16" s="181"/>
      <c r="U16" s="181"/>
      <c r="V16" s="181"/>
      <c r="W16" s="181"/>
      <c r="X16" s="181"/>
      <c r="Y16" s="181"/>
      <c r="Z16" s="181"/>
      <c r="AA16" s="181"/>
      <c r="AB16" s="181"/>
      <c r="AC16" s="181"/>
      <c r="AD16" s="181"/>
      <c r="AE16" s="181"/>
      <c r="AF16" s="181"/>
    </row>
    <row r="17" spans="1:32" x14ac:dyDescent="0.2">
      <c r="A17" s="265" t="s">
        <v>344</v>
      </c>
      <c r="B17" s="269">
        <v>10379.448768681101</v>
      </c>
      <c r="C17" s="265" t="s">
        <v>424</v>
      </c>
      <c r="D17" s="269">
        <v>7.9189999999999996</v>
      </c>
      <c r="E17" s="265">
        <v>1</v>
      </c>
      <c r="F17" s="265" t="s">
        <v>318</v>
      </c>
      <c r="H17" s="181"/>
      <c r="I17" s="181"/>
      <c r="J17" s="181"/>
      <c r="K17" s="181"/>
      <c r="L17" s="181"/>
      <c r="M17" s="181"/>
      <c r="N17" s="181"/>
      <c r="O17" s="181"/>
      <c r="P17" s="181"/>
      <c r="Q17" s="181"/>
      <c r="R17" s="181"/>
      <c r="S17" s="181"/>
      <c r="T17" s="181"/>
      <c r="U17" s="181"/>
      <c r="V17" s="181"/>
      <c r="W17" s="181"/>
      <c r="X17" s="181"/>
      <c r="Y17" s="181"/>
      <c r="Z17" s="181"/>
      <c r="AA17" s="181"/>
      <c r="AB17" s="181"/>
      <c r="AC17" s="181"/>
      <c r="AD17" s="181"/>
      <c r="AE17" s="181"/>
      <c r="AF17" s="181"/>
    </row>
    <row r="18" spans="1:32" x14ac:dyDescent="0.2">
      <c r="A18" s="265" t="s">
        <v>345</v>
      </c>
      <c r="B18" s="269">
        <v>6642.8472119558801</v>
      </c>
      <c r="C18" s="265" t="s">
        <v>425</v>
      </c>
      <c r="D18" s="269">
        <v>5.0679999999999996</v>
      </c>
      <c r="E18" s="265">
        <v>1.25</v>
      </c>
      <c r="F18" s="265" t="s">
        <v>318</v>
      </c>
      <c r="H18" s="181"/>
      <c r="I18" s="181"/>
      <c r="J18" s="181"/>
      <c r="K18" s="181"/>
      <c r="L18" s="181"/>
      <c r="M18" s="181"/>
      <c r="N18" s="181"/>
      <c r="O18" s="181"/>
      <c r="P18" s="181"/>
      <c r="Q18" s="181"/>
      <c r="R18" s="181"/>
      <c r="S18" s="181"/>
      <c r="T18" s="181"/>
      <c r="U18" s="181"/>
      <c r="V18" s="181"/>
      <c r="W18" s="181"/>
      <c r="X18" s="181"/>
      <c r="Y18" s="181"/>
      <c r="Z18" s="181"/>
      <c r="AA18" s="181"/>
      <c r="AB18" s="181"/>
      <c r="AC18" s="181"/>
      <c r="AD18" s="181"/>
      <c r="AE18" s="181"/>
      <c r="AF18" s="181"/>
    </row>
    <row r="19" spans="1:32" x14ac:dyDescent="0.2">
      <c r="A19" s="265" t="s">
        <v>346</v>
      </c>
      <c r="B19" s="269">
        <v>4613.0883416360202</v>
      </c>
      <c r="C19" s="265" t="s">
        <v>426</v>
      </c>
      <c r="D19" s="269">
        <v>3.5190000000000001</v>
      </c>
      <c r="E19" s="265">
        <v>1.5</v>
      </c>
      <c r="F19" s="265" t="s">
        <v>318</v>
      </c>
      <c r="H19" s="181"/>
      <c r="I19" s="181"/>
      <c r="J19" s="181"/>
      <c r="K19" s="181"/>
      <c r="L19" s="181"/>
      <c r="M19" s="181"/>
      <c r="N19" s="181"/>
      <c r="O19" s="181"/>
      <c r="P19" s="181"/>
      <c r="Q19" s="181"/>
      <c r="R19" s="181"/>
      <c r="S19" s="181"/>
      <c r="T19" s="181"/>
      <c r="U19" s="181"/>
      <c r="V19" s="181"/>
      <c r="W19" s="181"/>
      <c r="X19" s="181"/>
      <c r="Y19" s="181"/>
      <c r="Z19" s="181"/>
      <c r="AA19" s="181"/>
      <c r="AB19" s="181"/>
      <c r="AC19" s="181"/>
      <c r="AD19" s="181"/>
      <c r="AE19" s="181"/>
      <c r="AF19" s="181"/>
    </row>
    <row r="20" spans="1:32" x14ac:dyDescent="0.2">
      <c r="A20" s="265" t="s">
        <v>347</v>
      </c>
      <c r="B20" s="269">
        <v>4613.0883416360202</v>
      </c>
      <c r="C20" s="265" t="s">
        <v>426</v>
      </c>
      <c r="D20" s="269">
        <v>3.5190000000000001</v>
      </c>
      <c r="E20" s="265">
        <v>1.5</v>
      </c>
      <c r="F20" s="265" t="s">
        <v>318</v>
      </c>
      <c r="H20" s="181"/>
      <c r="I20" s="181"/>
      <c r="J20" s="181"/>
      <c r="K20" s="181"/>
      <c r="L20" s="181"/>
      <c r="M20" s="181"/>
      <c r="N20" s="181"/>
      <c r="O20" s="181"/>
      <c r="P20" s="181"/>
      <c r="Q20" s="181"/>
      <c r="R20" s="181"/>
      <c r="S20" s="181"/>
      <c r="T20" s="181"/>
      <c r="U20" s="181"/>
      <c r="V20" s="181"/>
      <c r="W20" s="181"/>
      <c r="X20" s="181"/>
      <c r="Y20" s="181"/>
      <c r="Z20" s="181"/>
      <c r="AA20" s="181"/>
      <c r="AB20" s="181"/>
      <c r="AC20" s="181"/>
      <c r="AD20" s="181"/>
      <c r="AE20" s="181"/>
      <c r="AF20" s="181"/>
    </row>
    <row r="21" spans="1:32" x14ac:dyDescent="0.2">
      <c r="A21" s="265" t="s">
        <v>348</v>
      </c>
      <c r="B21" s="269">
        <v>41517.795074724199</v>
      </c>
      <c r="C21" s="265" t="s">
        <v>420</v>
      </c>
      <c r="D21" s="269">
        <v>31.675000000000001</v>
      </c>
      <c r="E21" s="265">
        <v>0.5</v>
      </c>
      <c r="F21" s="265" t="s">
        <v>318</v>
      </c>
      <c r="H21" s="181"/>
      <c r="I21" s="181"/>
      <c r="J21" s="181"/>
      <c r="K21" s="181"/>
      <c r="L21" s="181"/>
      <c r="M21" s="181"/>
      <c r="N21" s="181"/>
      <c r="O21" s="181"/>
      <c r="P21" s="181"/>
      <c r="Q21" s="181"/>
      <c r="R21" s="181"/>
      <c r="S21" s="181"/>
      <c r="T21" s="181"/>
      <c r="U21" s="181"/>
      <c r="V21" s="181"/>
      <c r="W21" s="181"/>
      <c r="X21" s="181"/>
      <c r="Y21" s="181"/>
      <c r="Z21" s="181"/>
      <c r="AA21" s="181"/>
      <c r="AB21" s="181"/>
      <c r="AC21" s="181"/>
      <c r="AD21" s="181"/>
      <c r="AE21" s="181"/>
      <c r="AF21" s="181"/>
    </row>
    <row r="22" spans="1:32" x14ac:dyDescent="0.2">
      <c r="A22" s="265" t="s">
        <v>349</v>
      </c>
      <c r="B22" s="269">
        <v>22446.9047765594</v>
      </c>
      <c r="C22" s="265" t="s">
        <v>421</v>
      </c>
      <c r="D22" s="269">
        <v>17.125</v>
      </c>
      <c r="E22" s="265">
        <v>0.68</v>
      </c>
      <c r="F22" s="265" t="s">
        <v>318</v>
      </c>
      <c r="H22" s="181"/>
      <c r="I22" s="181"/>
      <c r="J22" s="181"/>
      <c r="K22" s="181"/>
      <c r="L22" s="181"/>
      <c r="M22" s="181"/>
      <c r="N22" s="181"/>
      <c r="O22" s="181"/>
      <c r="P22" s="181"/>
      <c r="Q22" s="181"/>
      <c r="R22" s="181"/>
      <c r="S22" s="181"/>
      <c r="T22" s="181"/>
      <c r="U22" s="181"/>
      <c r="V22" s="181"/>
      <c r="W22" s="181"/>
      <c r="X22" s="181"/>
      <c r="Y22" s="181"/>
      <c r="Z22" s="181"/>
      <c r="AA22" s="181"/>
      <c r="AB22" s="181"/>
      <c r="AC22" s="181"/>
      <c r="AD22" s="181"/>
      <c r="AE22" s="181"/>
      <c r="AF22" s="181"/>
    </row>
    <row r="23" spans="1:32" x14ac:dyDescent="0.2">
      <c r="A23" s="265" t="s">
        <v>350</v>
      </c>
      <c r="B23" s="269">
        <v>13713.1044638407</v>
      </c>
      <c r="C23" s="265" t="s">
        <v>423</v>
      </c>
      <c r="D23" s="269">
        <v>10.462</v>
      </c>
      <c r="E23" s="265">
        <v>0.87</v>
      </c>
      <c r="F23" s="265" t="s">
        <v>318</v>
      </c>
      <c r="H23" s="181"/>
      <c r="I23" s="181"/>
      <c r="J23" s="181"/>
      <c r="K23" s="181"/>
      <c r="L23" s="181"/>
      <c r="M23" s="181"/>
      <c r="N23" s="181"/>
      <c r="O23" s="181"/>
      <c r="P23" s="181"/>
      <c r="Q23" s="181"/>
      <c r="R23" s="181"/>
      <c r="S23" s="181"/>
      <c r="T23" s="181"/>
      <c r="U23" s="181"/>
      <c r="V23" s="181"/>
      <c r="W23" s="181"/>
      <c r="X23" s="181"/>
      <c r="Y23" s="181"/>
      <c r="Z23" s="181"/>
      <c r="AA23" s="181"/>
      <c r="AB23" s="181"/>
      <c r="AC23" s="181"/>
      <c r="AD23" s="181"/>
      <c r="AE23" s="181"/>
      <c r="AF23" s="181"/>
    </row>
    <row r="24" spans="1:32" x14ac:dyDescent="0.2">
      <c r="A24" s="265" t="s">
        <v>351</v>
      </c>
      <c r="B24" s="269">
        <v>4613.0883416360202</v>
      </c>
      <c r="C24" s="265" t="s">
        <v>426</v>
      </c>
      <c r="D24" s="269">
        <v>3.5190000000000001</v>
      </c>
      <c r="E24" s="265">
        <v>1.5</v>
      </c>
      <c r="F24" s="265" t="s">
        <v>318</v>
      </c>
      <c r="H24" s="181"/>
      <c r="I24" s="181"/>
      <c r="J24" s="181"/>
      <c r="K24" s="181"/>
      <c r="L24" s="181"/>
      <c r="M24" s="181"/>
      <c r="N24" s="181"/>
      <c r="O24" s="181"/>
      <c r="P24" s="181"/>
      <c r="Q24" s="181"/>
      <c r="R24" s="181"/>
      <c r="S24" s="181"/>
      <c r="T24" s="181"/>
      <c r="U24" s="181"/>
      <c r="V24" s="181"/>
      <c r="W24" s="181"/>
      <c r="X24" s="181"/>
      <c r="Y24" s="181"/>
      <c r="Z24" s="181"/>
      <c r="AA24" s="181"/>
      <c r="AB24" s="181"/>
      <c r="AC24" s="181"/>
      <c r="AD24" s="181"/>
      <c r="AE24" s="181"/>
      <c r="AF24" s="181"/>
    </row>
    <row r="25" spans="1:32" x14ac:dyDescent="0.2">
      <c r="A25" s="265" t="s">
        <v>352</v>
      </c>
      <c r="B25" s="269">
        <v>57946.1777618368</v>
      </c>
      <c r="C25" s="265" t="s">
        <v>427</v>
      </c>
      <c r="D25" s="269">
        <v>44.209000000000003</v>
      </c>
      <c r="E25" s="265">
        <v>0.42322834645669</v>
      </c>
      <c r="F25" s="265" t="s">
        <v>318</v>
      </c>
      <c r="H25" s="181"/>
      <c r="I25" s="181"/>
      <c r="J25" s="181"/>
      <c r="K25" s="181"/>
      <c r="L25" s="181"/>
      <c r="M25" s="181"/>
      <c r="N25" s="181"/>
      <c r="O25" s="181"/>
      <c r="P25" s="181"/>
      <c r="Q25" s="181"/>
      <c r="R25" s="181"/>
      <c r="S25" s="181"/>
      <c r="T25" s="181"/>
      <c r="U25" s="181"/>
      <c r="V25" s="181"/>
      <c r="W25" s="181"/>
      <c r="X25" s="181"/>
      <c r="Y25" s="181"/>
      <c r="Z25" s="181"/>
      <c r="AA25" s="181"/>
      <c r="AB25" s="181"/>
      <c r="AC25" s="181"/>
      <c r="AD25" s="181"/>
      <c r="AE25" s="181"/>
      <c r="AF25" s="181"/>
    </row>
    <row r="26" spans="1:32" x14ac:dyDescent="0.2">
      <c r="A26" s="265" t="s">
        <v>353</v>
      </c>
      <c r="B26" s="269">
        <v>57946.1777618368</v>
      </c>
      <c r="C26" s="265" t="s">
        <v>427</v>
      </c>
      <c r="D26" s="269">
        <v>44.209000000000003</v>
      </c>
      <c r="E26" s="265">
        <v>0.42322834645669</v>
      </c>
      <c r="F26" s="265" t="s">
        <v>318</v>
      </c>
      <c r="H26" s="181"/>
      <c r="I26" s="181"/>
      <c r="J26" s="181"/>
      <c r="K26" s="181"/>
      <c r="L26" s="181"/>
      <c r="M26" s="181"/>
      <c r="N26" s="181"/>
      <c r="O26" s="181"/>
      <c r="P26" s="181"/>
      <c r="Q26" s="181"/>
      <c r="R26" s="181"/>
      <c r="S26" s="181"/>
      <c r="T26" s="181"/>
      <c r="U26" s="181"/>
      <c r="V26" s="181"/>
      <c r="W26" s="181"/>
      <c r="X26" s="181"/>
      <c r="Y26" s="181"/>
      <c r="Z26" s="181"/>
      <c r="AA26" s="181"/>
      <c r="AB26" s="181"/>
      <c r="AC26" s="181"/>
      <c r="AD26" s="181"/>
      <c r="AE26" s="181"/>
      <c r="AF26" s="181"/>
    </row>
    <row r="27" spans="1:32" x14ac:dyDescent="0.2">
      <c r="A27" s="265" t="s">
        <v>354</v>
      </c>
      <c r="B27" s="269">
        <v>57946.1777618368</v>
      </c>
      <c r="C27" s="265" t="s">
        <v>427</v>
      </c>
      <c r="D27" s="269">
        <v>44.209000000000003</v>
      </c>
      <c r="E27" s="265">
        <v>0.42322834645669</v>
      </c>
      <c r="F27" s="265" t="s">
        <v>318</v>
      </c>
      <c r="H27" s="181"/>
      <c r="I27" s="181"/>
      <c r="J27" s="181"/>
      <c r="K27" s="181"/>
      <c r="L27" s="181"/>
      <c r="M27" s="181"/>
      <c r="N27" s="181"/>
      <c r="O27" s="181"/>
      <c r="P27" s="181"/>
      <c r="Q27" s="181"/>
      <c r="R27" s="181"/>
      <c r="S27" s="181"/>
      <c r="T27" s="181"/>
      <c r="U27" s="181"/>
      <c r="V27" s="181"/>
      <c r="W27" s="181"/>
      <c r="X27" s="181"/>
      <c r="Y27" s="181"/>
      <c r="Z27" s="181"/>
      <c r="AA27" s="181"/>
      <c r="AB27" s="181"/>
      <c r="AC27" s="181"/>
      <c r="AD27" s="181"/>
      <c r="AE27" s="181"/>
      <c r="AF27" s="181"/>
    </row>
    <row r="28" spans="1:32" x14ac:dyDescent="0.2">
      <c r="A28" s="265" t="s">
        <v>355</v>
      </c>
      <c r="B28" s="269">
        <v>57946.1777618368</v>
      </c>
      <c r="C28" s="265" t="s">
        <v>427</v>
      </c>
      <c r="D28" s="269">
        <v>44.209000000000003</v>
      </c>
      <c r="E28" s="265">
        <v>0.42322834645669</v>
      </c>
      <c r="F28" s="265" t="s">
        <v>318</v>
      </c>
      <c r="H28" s="181"/>
      <c r="I28" s="181"/>
      <c r="J28" s="181"/>
      <c r="K28" s="181"/>
      <c r="L28" s="181"/>
      <c r="M28" s="181"/>
      <c r="N28" s="181"/>
      <c r="O28" s="181"/>
      <c r="P28" s="181"/>
      <c r="Q28" s="181"/>
      <c r="R28" s="181"/>
      <c r="S28" s="181"/>
      <c r="T28" s="181"/>
      <c r="U28" s="181"/>
      <c r="V28" s="181"/>
      <c r="W28" s="181"/>
      <c r="X28" s="181"/>
      <c r="Y28" s="181"/>
      <c r="Z28" s="181"/>
      <c r="AA28" s="181"/>
      <c r="AB28" s="181"/>
      <c r="AC28" s="181"/>
      <c r="AD28" s="181"/>
      <c r="AE28" s="181"/>
      <c r="AF28" s="181"/>
    </row>
    <row r="29" spans="1:32" x14ac:dyDescent="0.2">
      <c r="A29" s="265" t="s">
        <v>356</v>
      </c>
      <c r="B29" s="269">
        <v>57946.1777618368</v>
      </c>
      <c r="C29" s="265" t="s">
        <v>427</v>
      </c>
      <c r="D29" s="269">
        <v>44.209000000000003</v>
      </c>
      <c r="E29" s="265">
        <v>0.42322834645669</v>
      </c>
      <c r="F29" s="265" t="s">
        <v>318</v>
      </c>
      <c r="H29" s="181"/>
      <c r="I29" s="181"/>
      <c r="J29" s="181"/>
      <c r="K29" s="181"/>
      <c r="L29" s="181"/>
      <c r="M29" s="181"/>
      <c r="N29" s="181"/>
      <c r="O29" s="181"/>
      <c r="P29" s="181"/>
      <c r="Q29" s="181"/>
      <c r="R29" s="181"/>
      <c r="S29" s="181"/>
      <c r="T29" s="181"/>
      <c r="U29" s="181"/>
      <c r="V29" s="181"/>
      <c r="W29" s="181"/>
      <c r="X29" s="181"/>
      <c r="Y29" s="181"/>
      <c r="Z29" s="181"/>
      <c r="AA29" s="181"/>
      <c r="AB29" s="181"/>
      <c r="AC29" s="181"/>
      <c r="AD29" s="181"/>
      <c r="AE29" s="181"/>
      <c r="AF29" s="181"/>
    </row>
    <row r="30" spans="1:32" x14ac:dyDescent="0.2">
      <c r="A30" s="265" t="s">
        <v>357</v>
      </c>
      <c r="B30" s="269">
        <v>57946.1777618368</v>
      </c>
      <c r="C30" s="265" t="s">
        <v>427</v>
      </c>
      <c r="D30" s="269">
        <v>44.209000000000003</v>
      </c>
      <c r="E30" s="265">
        <v>0.42322834645669</v>
      </c>
      <c r="F30" s="265" t="s">
        <v>318</v>
      </c>
      <c r="H30" s="181"/>
      <c r="I30" s="181"/>
      <c r="J30" s="181"/>
      <c r="K30" s="181"/>
      <c r="L30" s="181"/>
      <c r="M30" s="181"/>
      <c r="N30" s="181"/>
      <c r="O30" s="181"/>
      <c r="P30" s="181"/>
      <c r="Q30" s="181"/>
      <c r="R30" s="181"/>
      <c r="S30" s="181"/>
      <c r="T30" s="181"/>
      <c r="U30" s="181"/>
      <c r="V30" s="181"/>
      <c r="W30" s="181"/>
      <c r="X30" s="181"/>
      <c r="Y30" s="181"/>
      <c r="Z30" s="181"/>
      <c r="AA30" s="181"/>
      <c r="AB30" s="181"/>
      <c r="AC30" s="181"/>
      <c r="AD30" s="181"/>
      <c r="AE30" s="181"/>
      <c r="AF30" s="181"/>
    </row>
    <row r="31" spans="1:32" x14ac:dyDescent="0.2">
      <c r="A31" s="265" t="s">
        <v>358</v>
      </c>
      <c r="B31" s="269">
        <v>57946.1777618368</v>
      </c>
      <c r="C31" s="265" t="s">
        <v>427</v>
      </c>
      <c r="D31" s="269">
        <v>44.209000000000003</v>
      </c>
      <c r="E31" s="265">
        <v>0.42322834645669</v>
      </c>
      <c r="F31" s="265" t="s">
        <v>318</v>
      </c>
      <c r="H31" s="181"/>
      <c r="I31" s="181"/>
      <c r="J31" s="181"/>
      <c r="K31" s="181"/>
      <c r="L31" s="181"/>
      <c r="M31" s="181"/>
      <c r="N31" s="181"/>
      <c r="O31" s="181"/>
      <c r="P31" s="181"/>
      <c r="Q31" s="181"/>
      <c r="R31" s="181"/>
      <c r="S31" s="181"/>
      <c r="T31" s="181"/>
      <c r="U31" s="181"/>
      <c r="V31" s="181"/>
      <c r="W31" s="181"/>
      <c r="X31" s="181"/>
      <c r="Y31" s="181"/>
      <c r="Z31" s="181"/>
      <c r="AA31" s="181"/>
      <c r="AB31" s="181"/>
      <c r="AC31" s="181"/>
      <c r="AD31" s="181"/>
      <c r="AE31" s="181"/>
      <c r="AF31" s="181"/>
    </row>
    <row r="32" spans="1:32" x14ac:dyDescent="0.2">
      <c r="A32" s="265" t="s">
        <v>359</v>
      </c>
      <c r="B32" s="269">
        <v>29761.800744898999</v>
      </c>
      <c r="C32" s="265" t="s">
        <v>428</v>
      </c>
      <c r="D32" s="269">
        <v>22.706</v>
      </c>
      <c r="E32" s="265">
        <v>0.59055118110236005</v>
      </c>
      <c r="F32" s="265" t="s">
        <v>318</v>
      </c>
      <c r="H32" s="181"/>
      <c r="I32" s="181"/>
      <c r="J32" s="181"/>
      <c r="K32" s="181"/>
      <c r="L32" s="181"/>
      <c r="M32" s="181"/>
      <c r="N32" s="181"/>
      <c r="O32" s="181"/>
      <c r="P32" s="181"/>
      <c r="Q32" s="181"/>
      <c r="R32" s="181"/>
      <c r="S32" s="181"/>
      <c r="T32" s="181"/>
      <c r="U32" s="181"/>
      <c r="V32" s="181"/>
      <c r="W32" s="181"/>
      <c r="X32" s="181"/>
      <c r="Y32" s="181"/>
      <c r="Z32" s="181"/>
      <c r="AA32" s="181"/>
      <c r="AB32" s="181"/>
      <c r="AC32" s="181"/>
      <c r="AD32" s="181"/>
      <c r="AE32" s="181"/>
      <c r="AF32" s="181"/>
    </row>
    <row r="33" spans="1:32" x14ac:dyDescent="0.2">
      <c r="A33" s="265" t="s">
        <v>360</v>
      </c>
      <c r="B33" s="269">
        <v>29761.800744898999</v>
      </c>
      <c r="C33" s="265" t="s">
        <v>428</v>
      </c>
      <c r="D33" s="269">
        <v>22.706</v>
      </c>
      <c r="E33" s="265">
        <v>0.59055118110236005</v>
      </c>
      <c r="F33" s="265" t="s">
        <v>318</v>
      </c>
      <c r="H33" s="181"/>
      <c r="I33" s="181"/>
      <c r="J33" s="181"/>
      <c r="K33" s="181"/>
      <c r="L33" s="181"/>
      <c r="M33" s="181"/>
      <c r="N33" s="181"/>
      <c r="O33" s="181"/>
      <c r="P33" s="181"/>
      <c r="Q33" s="181"/>
      <c r="R33" s="181"/>
      <c r="S33" s="181"/>
      <c r="T33" s="181"/>
      <c r="U33" s="181"/>
      <c r="V33" s="181"/>
      <c r="W33" s="181"/>
      <c r="X33" s="181"/>
      <c r="Y33" s="181"/>
      <c r="Z33" s="181"/>
      <c r="AA33" s="181"/>
      <c r="AB33" s="181"/>
      <c r="AC33" s="181"/>
      <c r="AD33" s="181"/>
      <c r="AE33" s="181"/>
      <c r="AF33" s="181"/>
    </row>
    <row r="34" spans="1:32" x14ac:dyDescent="0.2">
      <c r="A34" s="265" t="s">
        <v>361</v>
      </c>
      <c r="B34" s="269">
        <v>29761.800744898999</v>
      </c>
      <c r="C34" s="265" t="s">
        <v>428</v>
      </c>
      <c r="D34" s="269">
        <v>22.706</v>
      </c>
      <c r="E34" s="265">
        <v>0.59055118110236005</v>
      </c>
      <c r="F34" s="265" t="s">
        <v>318</v>
      </c>
      <c r="H34" s="181"/>
      <c r="I34" s="181"/>
      <c r="J34" s="181"/>
      <c r="K34" s="181"/>
      <c r="L34" s="181"/>
      <c r="M34" s="181"/>
      <c r="N34" s="181"/>
      <c r="O34" s="181"/>
      <c r="P34" s="181"/>
      <c r="Q34" s="181"/>
      <c r="R34" s="181"/>
      <c r="S34" s="181"/>
      <c r="T34" s="181"/>
      <c r="U34" s="181"/>
      <c r="V34" s="181"/>
      <c r="W34" s="181"/>
      <c r="X34" s="181"/>
      <c r="Y34" s="181"/>
      <c r="Z34" s="181"/>
      <c r="AA34" s="181"/>
      <c r="AB34" s="181"/>
      <c r="AC34" s="181"/>
      <c r="AD34" s="181"/>
      <c r="AE34" s="181"/>
      <c r="AF34" s="181"/>
    </row>
    <row r="35" spans="1:32" x14ac:dyDescent="0.2">
      <c r="A35" s="265" t="s">
        <v>362</v>
      </c>
      <c r="B35" s="269">
        <v>29761.800744898999</v>
      </c>
      <c r="C35" s="265" t="s">
        <v>428</v>
      </c>
      <c r="D35" s="269">
        <v>22.706</v>
      </c>
      <c r="E35" s="265">
        <v>0.59055118110236005</v>
      </c>
      <c r="F35" s="265" t="s">
        <v>318</v>
      </c>
      <c r="H35" s="181"/>
      <c r="I35" s="181"/>
      <c r="J35" s="181"/>
      <c r="K35" s="181"/>
      <c r="L35" s="181"/>
      <c r="M35" s="181"/>
      <c r="N35" s="181"/>
      <c r="O35" s="181"/>
      <c r="P35" s="181"/>
      <c r="Q35" s="181"/>
      <c r="R35" s="181"/>
      <c r="S35" s="181"/>
      <c r="T35" s="181"/>
      <c r="U35" s="181"/>
      <c r="V35" s="181"/>
      <c r="W35" s="181"/>
      <c r="X35" s="181"/>
      <c r="Y35" s="181"/>
      <c r="Z35" s="181"/>
      <c r="AA35" s="181"/>
      <c r="AB35" s="181"/>
      <c r="AC35" s="181"/>
      <c r="AD35" s="181"/>
      <c r="AE35" s="181"/>
      <c r="AF35" s="181"/>
    </row>
    <row r="36" spans="1:32" x14ac:dyDescent="0.2">
      <c r="A36" s="265" t="s">
        <v>363</v>
      </c>
      <c r="B36" s="269">
        <v>29761.800744898999</v>
      </c>
      <c r="C36" s="265" t="s">
        <v>428</v>
      </c>
      <c r="D36" s="269">
        <v>22.706</v>
      </c>
      <c r="E36" s="265">
        <v>0.59055118110236005</v>
      </c>
      <c r="F36" s="265" t="s">
        <v>318</v>
      </c>
      <c r="H36" s="181"/>
      <c r="I36" s="181"/>
      <c r="J36" s="181"/>
      <c r="K36" s="181"/>
      <c r="L36" s="181"/>
      <c r="M36" s="181"/>
      <c r="N36" s="181"/>
      <c r="O36" s="181"/>
      <c r="P36" s="181"/>
      <c r="Q36" s="181"/>
      <c r="R36" s="181"/>
      <c r="S36" s="181"/>
      <c r="T36" s="181"/>
      <c r="U36" s="181"/>
      <c r="V36" s="181"/>
      <c r="W36" s="181"/>
      <c r="X36" s="181"/>
      <c r="Y36" s="181"/>
      <c r="Z36" s="181"/>
      <c r="AA36" s="181"/>
      <c r="AB36" s="181"/>
      <c r="AC36" s="181"/>
      <c r="AD36" s="181"/>
      <c r="AE36" s="181"/>
      <c r="AF36" s="181"/>
    </row>
    <row r="37" spans="1:32" x14ac:dyDescent="0.2">
      <c r="A37" s="265" t="s">
        <v>364</v>
      </c>
      <c r="B37" s="269">
        <v>29761.800744898999</v>
      </c>
      <c r="C37" s="265" t="s">
        <v>428</v>
      </c>
      <c r="D37" s="269">
        <v>22.706</v>
      </c>
      <c r="E37" s="265">
        <v>0.59055118110236005</v>
      </c>
      <c r="F37" s="265" t="s">
        <v>318</v>
      </c>
      <c r="H37" s="181"/>
      <c r="I37" s="181"/>
      <c r="J37" s="181"/>
      <c r="K37" s="181"/>
      <c r="L37" s="181"/>
      <c r="M37" s="181"/>
      <c r="N37" s="181"/>
      <c r="O37" s="181"/>
      <c r="P37" s="181"/>
      <c r="Q37" s="181"/>
      <c r="R37" s="181"/>
      <c r="S37" s="181"/>
      <c r="T37" s="181"/>
      <c r="U37" s="181"/>
      <c r="V37" s="181"/>
      <c r="W37" s="181"/>
      <c r="X37" s="181"/>
      <c r="Y37" s="181"/>
      <c r="Z37" s="181"/>
      <c r="AA37" s="181"/>
      <c r="AB37" s="181"/>
      <c r="AC37" s="181"/>
      <c r="AD37" s="181"/>
      <c r="AE37" s="181"/>
      <c r="AF37" s="181"/>
    </row>
    <row r="38" spans="1:32" x14ac:dyDescent="0.2">
      <c r="A38" s="265" t="s">
        <v>365</v>
      </c>
      <c r="B38" s="269">
        <v>16741.012919005701</v>
      </c>
      <c r="C38" s="265" t="s">
        <v>429</v>
      </c>
      <c r="D38" s="269">
        <v>12.772</v>
      </c>
      <c r="E38" s="265">
        <v>0.78740157480314998</v>
      </c>
      <c r="F38" s="265" t="s">
        <v>318</v>
      </c>
      <c r="H38" s="181"/>
      <c r="I38" s="181"/>
      <c r="J38" s="181"/>
      <c r="K38" s="181"/>
      <c r="L38" s="181"/>
      <c r="M38" s="181"/>
      <c r="N38" s="181"/>
      <c r="O38" s="181"/>
      <c r="P38" s="181"/>
      <c r="Q38" s="181"/>
      <c r="R38" s="181"/>
      <c r="S38" s="181"/>
      <c r="T38" s="181"/>
      <c r="U38" s="181"/>
      <c r="V38" s="181"/>
      <c r="W38" s="181"/>
      <c r="X38" s="181"/>
      <c r="Y38" s="181"/>
      <c r="Z38" s="181"/>
      <c r="AA38" s="181"/>
      <c r="AB38" s="181"/>
      <c r="AC38" s="181"/>
      <c r="AD38" s="181"/>
      <c r="AE38" s="181"/>
      <c r="AF38" s="181"/>
    </row>
    <row r="39" spans="1:32" x14ac:dyDescent="0.2">
      <c r="A39" s="265" t="s">
        <v>366</v>
      </c>
      <c r="B39" s="269">
        <v>16741.012919005701</v>
      </c>
      <c r="C39" s="265" t="s">
        <v>429</v>
      </c>
      <c r="D39" s="269">
        <v>12.772</v>
      </c>
      <c r="E39" s="265">
        <v>0.78740157480314998</v>
      </c>
      <c r="F39" s="265" t="s">
        <v>318</v>
      </c>
      <c r="H39" s="181"/>
      <c r="I39" s="181"/>
      <c r="J39" s="181"/>
      <c r="K39" s="181"/>
      <c r="L39" s="181"/>
      <c r="M39" s="181"/>
      <c r="N39" s="181"/>
      <c r="O39" s="181"/>
      <c r="P39" s="181"/>
      <c r="Q39" s="181"/>
      <c r="R39" s="181"/>
      <c r="S39" s="181"/>
      <c r="T39" s="181"/>
      <c r="U39" s="181"/>
      <c r="V39" s="181"/>
      <c r="W39" s="181"/>
      <c r="X39" s="181"/>
      <c r="Y39" s="181"/>
      <c r="Z39" s="181"/>
      <c r="AA39" s="181"/>
      <c r="AB39" s="181"/>
      <c r="AC39" s="181"/>
      <c r="AD39" s="181"/>
      <c r="AE39" s="181"/>
      <c r="AF39" s="181"/>
    </row>
    <row r="40" spans="1:32" x14ac:dyDescent="0.2">
      <c r="A40" s="265" t="s">
        <v>367</v>
      </c>
      <c r="B40" s="269">
        <v>16741.012919005701</v>
      </c>
      <c r="C40" s="265" t="s">
        <v>429</v>
      </c>
      <c r="D40" s="269">
        <v>12.772</v>
      </c>
      <c r="E40" s="265">
        <v>0.78740157480314998</v>
      </c>
      <c r="F40" s="265" t="s">
        <v>318</v>
      </c>
      <c r="H40" s="181"/>
      <c r="I40" s="181"/>
      <c r="J40" s="181"/>
      <c r="K40" s="181"/>
      <c r="L40" s="181"/>
      <c r="M40" s="181"/>
      <c r="N40" s="181"/>
      <c r="O40" s="181"/>
      <c r="P40" s="181"/>
      <c r="Q40" s="181"/>
      <c r="R40" s="181"/>
      <c r="S40" s="181"/>
      <c r="T40" s="181"/>
      <c r="U40" s="181"/>
      <c r="V40" s="181"/>
      <c r="W40" s="181"/>
      <c r="X40" s="181"/>
      <c r="Y40" s="181"/>
      <c r="Z40" s="181"/>
      <c r="AA40" s="181"/>
      <c r="AB40" s="181"/>
      <c r="AC40" s="181"/>
      <c r="AD40" s="181"/>
      <c r="AE40" s="181"/>
      <c r="AF40" s="181"/>
    </row>
    <row r="41" spans="1:32" x14ac:dyDescent="0.2">
      <c r="A41" s="265" t="s">
        <v>368</v>
      </c>
      <c r="B41" s="269">
        <v>16741.012919005701</v>
      </c>
      <c r="C41" s="265" t="s">
        <v>429</v>
      </c>
      <c r="D41" s="269">
        <v>12.772</v>
      </c>
      <c r="E41" s="265">
        <v>0.78740157480314998</v>
      </c>
      <c r="F41" s="265" t="s">
        <v>318</v>
      </c>
      <c r="H41" s="181"/>
      <c r="I41" s="181"/>
      <c r="J41" s="181"/>
      <c r="K41" s="181"/>
      <c r="L41" s="181"/>
      <c r="M41" s="181"/>
      <c r="N41" s="181"/>
      <c r="O41" s="181"/>
      <c r="P41" s="181"/>
      <c r="Q41" s="181"/>
      <c r="R41" s="181"/>
      <c r="S41" s="181"/>
      <c r="T41" s="181"/>
      <c r="U41" s="181"/>
      <c r="V41" s="181"/>
      <c r="W41" s="181"/>
      <c r="X41" s="181"/>
      <c r="Y41" s="181"/>
      <c r="Z41" s="181"/>
      <c r="AA41" s="181"/>
      <c r="AB41" s="181"/>
      <c r="AC41" s="181"/>
      <c r="AD41" s="181"/>
      <c r="AE41" s="181"/>
      <c r="AF41" s="181"/>
    </row>
    <row r="42" spans="1:32" x14ac:dyDescent="0.2">
      <c r="A42" s="265" t="s">
        <v>369</v>
      </c>
      <c r="B42" s="269">
        <v>16741.012919005701</v>
      </c>
      <c r="C42" s="265" t="s">
        <v>429</v>
      </c>
      <c r="D42" s="269">
        <v>12.772</v>
      </c>
      <c r="E42" s="265">
        <v>0.78740157480314998</v>
      </c>
      <c r="F42" s="265" t="s">
        <v>318</v>
      </c>
      <c r="H42" s="181"/>
      <c r="I42" s="181"/>
      <c r="J42" s="181"/>
      <c r="K42" s="181"/>
      <c r="L42" s="181"/>
      <c r="M42" s="181"/>
      <c r="N42" s="181"/>
      <c r="O42" s="181"/>
      <c r="P42" s="181"/>
      <c r="Q42" s="181"/>
      <c r="R42" s="181"/>
      <c r="S42" s="181"/>
      <c r="T42" s="181"/>
      <c r="U42" s="181"/>
      <c r="V42" s="181"/>
      <c r="W42" s="181"/>
      <c r="X42" s="181"/>
      <c r="Y42" s="181"/>
      <c r="Z42" s="181"/>
      <c r="AA42" s="181"/>
      <c r="AB42" s="181"/>
      <c r="AC42" s="181"/>
      <c r="AD42" s="181"/>
      <c r="AE42" s="181"/>
      <c r="AF42" s="181"/>
    </row>
    <row r="43" spans="1:32" x14ac:dyDescent="0.2">
      <c r="A43" s="265" t="s">
        <v>370</v>
      </c>
      <c r="B43" s="269">
        <v>11988.2352941177</v>
      </c>
      <c r="C43" s="265" t="s">
        <v>430</v>
      </c>
      <c r="D43" s="269">
        <v>9.1460000000000008</v>
      </c>
      <c r="E43" s="265">
        <v>0.93048529833626004</v>
      </c>
      <c r="F43" s="265" t="s">
        <v>318</v>
      </c>
      <c r="H43" s="181"/>
      <c r="I43" s="181"/>
      <c r="J43" s="181"/>
      <c r="K43" s="181"/>
      <c r="L43" s="181"/>
      <c r="M43" s="181"/>
      <c r="N43" s="181"/>
      <c r="O43" s="181"/>
      <c r="P43" s="181"/>
      <c r="Q43" s="181"/>
      <c r="R43" s="181"/>
      <c r="S43" s="181"/>
      <c r="T43" s="181"/>
      <c r="U43" s="181"/>
      <c r="V43" s="181"/>
      <c r="W43" s="181"/>
      <c r="X43" s="181"/>
      <c r="Y43" s="181"/>
      <c r="Z43" s="181"/>
      <c r="AA43" s="181"/>
      <c r="AB43" s="181"/>
      <c r="AC43" s="181"/>
      <c r="AD43" s="181"/>
      <c r="AE43" s="181"/>
      <c r="AF43" s="181"/>
    </row>
    <row r="44" spans="1:32" x14ac:dyDescent="0.2">
      <c r="A44" s="265" t="s">
        <v>371</v>
      </c>
      <c r="B44" s="269">
        <v>4268.0628272251397</v>
      </c>
      <c r="C44" s="265" t="s">
        <v>431</v>
      </c>
      <c r="D44" s="269">
        <v>3.2559999999999998</v>
      </c>
      <c r="E44" s="265">
        <v>1.5594510349620301</v>
      </c>
      <c r="F44" s="265" t="s">
        <v>318</v>
      </c>
      <c r="H44" s="181"/>
      <c r="I44" s="181"/>
      <c r="J44" s="181"/>
      <c r="K44" s="181"/>
      <c r="L44" s="181"/>
      <c r="M44" s="181"/>
      <c r="N44" s="181"/>
      <c r="O44" s="181"/>
      <c r="P44" s="181"/>
      <c r="Q44" s="181"/>
      <c r="R44" s="181"/>
      <c r="S44" s="181"/>
      <c r="T44" s="181"/>
      <c r="U44" s="181"/>
      <c r="V44" s="181"/>
      <c r="W44" s="181"/>
      <c r="X44" s="181"/>
      <c r="Y44" s="181"/>
      <c r="Z44" s="181"/>
      <c r="AA44" s="181"/>
      <c r="AB44" s="181"/>
      <c r="AC44" s="181"/>
      <c r="AD44" s="181"/>
      <c r="AE44" s="181"/>
      <c r="AF44" s="181"/>
    </row>
    <row r="45" spans="1:32" x14ac:dyDescent="0.2">
      <c r="A45" s="265" t="s">
        <v>372</v>
      </c>
      <c r="B45" s="269">
        <v>2717.3333333333399</v>
      </c>
      <c r="C45" s="265" t="s">
        <v>432</v>
      </c>
      <c r="D45" s="269">
        <v>2.073</v>
      </c>
      <c r="E45" s="265">
        <v>1.9544100476116799</v>
      </c>
      <c r="F45" s="265" t="s">
        <v>318</v>
      </c>
      <c r="H45" s="181"/>
      <c r="I45" s="181"/>
      <c r="J45" s="181"/>
      <c r="K45" s="181"/>
      <c r="L45" s="181"/>
      <c r="M45" s="181"/>
      <c r="N45" s="181"/>
      <c r="O45" s="181"/>
      <c r="P45" s="181"/>
      <c r="Q45" s="181"/>
      <c r="R45" s="181"/>
      <c r="S45" s="181"/>
      <c r="T45" s="181"/>
      <c r="U45" s="181"/>
      <c r="V45" s="181"/>
      <c r="W45" s="181"/>
      <c r="X45" s="181"/>
      <c r="Y45" s="181"/>
      <c r="Z45" s="181"/>
      <c r="AA45" s="181"/>
      <c r="AB45" s="181"/>
      <c r="AC45" s="181"/>
      <c r="AD45" s="181"/>
      <c r="AE45" s="181"/>
      <c r="AF45" s="181"/>
    </row>
    <row r="46" spans="1:32" x14ac:dyDescent="0.2">
      <c r="A46" s="265" t="s">
        <v>373</v>
      </c>
      <c r="B46" s="269">
        <v>1543.9393939393999</v>
      </c>
      <c r="C46" s="265" t="s">
        <v>433</v>
      </c>
      <c r="D46" s="269">
        <v>1.1779999999999999</v>
      </c>
      <c r="E46" s="265">
        <v>2.5928179257714299</v>
      </c>
      <c r="F46" s="265" t="s">
        <v>318</v>
      </c>
      <c r="H46" s="181"/>
      <c r="I46" s="181"/>
      <c r="J46" s="181"/>
      <c r="K46" s="181"/>
      <c r="L46" s="181"/>
      <c r="M46" s="181"/>
      <c r="N46" s="181"/>
      <c r="O46" s="181"/>
      <c r="P46" s="181"/>
      <c r="Q46" s="181"/>
      <c r="R46" s="181"/>
      <c r="S46" s="181"/>
      <c r="T46" s="181"/>
      <c r="U46" s="181"/>
      <c r="V46" s="181"/>
      <c r="W46" s="181"/>
      <c r="X46" s="181"/>
      <c r="Y46" s="181"/>
      <c r="Z46" s="181"/>
      <c r="AA46" s="181"/>
      <c r="AB46" s="181"/>
      <c r="AC46" s="181"/>
      <c r="AD46" s="181"/>
      <c r="AE46" s="181"/>
      <c r="AF46" s="181"/>
    </row>
    <row r="47" spans="1:32" x14ac:dyDescent="0.2">
      <c r="A47" s="265" t="s">
        <v>374</v>
      </c>
      <c r="B47" s="269">
        <v>1132.7901074757399</v>
      </c>
      <c r="C47" s="265" t="s">
        <v>434</v>
      </c>
      <c r="D47" s="269">
        <v>0.86399999999999999</v>
      </c>
      <c r="E47" s="265">
        <v>3.0270000000000001</v>
      </c>
      <c r="F47" s="265" t="s">
        <v>318</v>
      </c>
      <c r="H47" s="181"/>
      <c r="I47" s="181"/>
      <c r="J47" s="181"/>
      <c r="K47" s="181"/>
      <c r="L47" s="181"/>
      <c r="M47" s="181"/>
      <c r="N47" s="181"/>
      <c r="O47" s="181"/>
      <c r="P47" s="181"/>
      <c r="Q47" s="181"/>
      <c r="R47" s="181"/>
      <c r="S47" s="181"/>
      <c r="T47" s="181"/>
      <c r="U47" s="181"/>
      <c r="V47" s="181"/>
      <c r="W47" s="181"/>
      <c r="X47" s="181"/>
      <c r="Y47" s="181"/>
      <c r="Z47" s="181"/>
      <c r="AA47" s="181"/>
      <c r="AB47" s="181"/>
      <c r="AC47" s="181"/>
      <c r="AD47" s="181"/>
      <c r="AE47" s="181"/>
      <c r="AF47" s="181"/>
    </row>
    <row r="48" spans="1:32" x14ac:dyDescent="0.2">
      <c r="A48" s="265" t="s">
        <v>375</v>
      </c>
      <c r="B48" s="270">
        <v>523.90745501285403</v>
      </c>
      <c r="C48" s="265" t="s">
        <v>435</v>
      </c>
      <c r="D48" s="270">
        <v>0.4</v>
      </c>
      <c r="E48" s="265">
        <v>4.4510231763134103</v>
      </c>
      <c r="F48" s="265" t="s">
        <v>323</v>
      </c>
      <c r="H48" s="181"/>
      <c r="I48" s="181"/>
      <c r="J48" s="181"/>
      <c r="K48" s="181"/>
      <c r="L48" s="181"/>
      <c r="M48" s="181"/>
      <c r="N48" s="181"/>
      <c r="O48" s="181"/>
      <c r="P48" s="181"/>
      <c r="Q48" s="181"/>
      <c r="R48" s="181"/>
      <c r="S48" s="181"/>
      <c r="T48" s="181"/>
      <c r="U48" s="181"/>
      <c r="V48" s="181"/>
      <c r="W48" s="181"/>
      <c r="X48" s="181"/>
      <c r="Y48" s="181"/>
      <c r="Z48" s="181"/>
      <c r="AA48" s="181"/>
      <c r="AB48" s="181"/>
      <c r="AC48" s="181"/>
      <c r="AD48" s="181"/>
      <c r="AE48" s="181"/>
      <c r="AF48" s="181"/>
    </row>
    <row r="49" spans="1:32" x14ac:dyDescent="0.2">
      <c r="A49" s="265" t="s">
        <v>376</v>
      </c>
      <c r="B49" s="270">
        <v>326.08</v>
      </c>
      <c r="C49" s="265" t="s">
        <v>436</v>
      </c>
      <c r="D49" s="270">
        <v>0.249</v>
      </c>
      <c r="E49" s="265">
        <v>5.6418958354775599</v>
      </c>
      <c r="F49" s="265" t="s">
        <v>323</v>
      </c>
      <c r="H49" s="181"/>
      <c r="I49" s="181"/>
      <c r="J49" s="181"/>
      <c r="K49" s="181"/>
      <c r="L49" s="181"/>
      <c r="M49" s="181"/>
      <c r="N49" s="181"/>
      <c r="O49" s="181"/>
      <c r="P49" s="181"/>
      <c r="Q49" s="181"/>
      <c r="R49" s="181"/>
      <c r="S49" s="181"/>
      <c r="T49" s="181"/>
      <c r="U49" s="181"/>
      <c r="V49" s="181"/>
      <c r="W49" s="181"/>
      <c r="X49" s="181"/>
      <c r="Y49" s="181"/>
      <c r="Z49" s="181"/>
      <c r="AA49" s="181"/>
      <c r="AB49" s="181"/>
      <c r="AC49" s="181"/>
      <c r="AD49" s="181"/>
      <c r="AE49" s="181"/>
      <c r="AF49" s="181"/>
    </row>
    <row r="50" spans="1:32" x14ac:dyDescent="0.2">
      <c r="A50" s="265" t="s">
        <v>377</v>
      </c>
      <c r="B50" s="270">
        <v>182.69834155087401</v>
      </c>
      <c r="C50" s="265" t="s">
        <v>437</v>
      </c>
      <c r="D50" s="270">
        <v>0.13900000000000001</v>
      </c>
      <c r="E50" s="265">
        <v>7.5373701306279903</v>
      </c>
      <c r="F50" s="265" t="s">
        <v>323</v>
      </c>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row>
    <row r="51" spans="1:32" x14ac:dyDescent="0.2">
      <c r="A51" s="265" t="s">
        <v>378</v>
      </c>
      <c r="B51" s="270">
        <v>126.289697908598</v>
      </c>
      <c r="C51" s="265" t="s">
        <v>438</v>
      </c>
      <c r="D51" s="270">
        <v>9.6000000000000002E-2</v>
      </c>
      <c r="E51" s="265">
        <v>9.0657383931290898</v>
      </c>
      <c r="F51" s="265" t="s">
        <v>323</v>
      </c>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row>
    <row r="52" spans="1:32" x14ac:dyDescent="0.2">
      <c r="A52" s="265" t="s">
        <v>379</v>
      </c>
      <c r="B52" s="269">
        <v>73809.413466176396</v>
      </c>
      <c r="C52" s="265" t="s">
        <v>419</v>
      </c>
      <c r="D52" s="269">
        <v>56.311</v>
      </c>
      <c r="E52" s="265">
        <v>0.375</v>
      </c>
      <c r="F52" s="265" t="s">
        <v>318</v>
      </c>
      <c r="H52" s="181"/>
      <c r="I52" s="181"/>
      <c r="J52" s="181"/>
      <c r="K52" s="181"/>
      <c r="L52" s="181"/>
      <c r="M52" s="181"/>
      <c r="N52" s="181"/>
      <c r="O52" s="181"/>
      <c r="P52" s="181"/>
      <c r="Q52" s="181"/>
      <c r="R52" s="181"/>
      <c r="S52" s="181"/>
      <c r="T52" s="181"/>
      <c r="U52" s="181"/>
      <c r="V52" s="181"/>
      <c r="W52" s="181"/>
      <c r="X52" s="181"/>
      <c r="Y52" s="181"/>
      <c r="Z52" s="181"/>
      <c r="AA52" s="181"/>
      <c r="AB52" s="181"/>
      <c r="AC52" s="181"/>
      <c r="AD52" s="181"/>
      <c r="AE52" s="181"/>
      <c r="AF52" s="181"/>
    </row>
    <row r="53" spans="1:32" x14ac:dyDescent="0.2">
      <c r="A53" s="265" t="s">
        <v>380</v>
      </c>
      <c r="B53" s="269">
        <v>73809.413466176396</v>
      </c>
      <c r="C53" s="265" t="s">
        <v>419</v>
      </c>
      <c r="D53" s="269">
        <v>56.311</v>
      </c>
      <c r="E53" s="265">
        <v>0.375</v>
      </c>
      <c r="F53" s="265" t="s">
        <v>318</v>
      </c>
      <c r="H53" s="181"/>
      <c r="I53" s="181"/>
      <c r="J53" s="181"/>
      <c r="K53" s="181"/>
      <c r="L53" s="181"/>
      <c r="M53" s="181"/>
      <c r="N53" s="181"/>
      <c r="O53" s="181"/>
      <c r="P53" s="181"/>
      <c r="Q53" s="181"/>
      <c r="R53" s="181"/>
      <c r="S53" s="181"/>
      <c r="T53" s="181"/>
      <c r="U53" s="181"/>
      <c r="V53" s="181"/>
      <c r="W53" s="181"/>
      <c r="X53" s="181"/>
      <c r="Y53" s="181"/>
      <c r="Z53" s="181"/>
      <c r="AA53" s="181"/>
      <c r="AB53" s="181"/>
      <c r="AC53" s="181"/>
      <c r="AD53" s="181"/>
      <c r="AE53" s="181"/>
      <c r="AF53" s="181"/>
    </row>
    <row r="54" spans="1:32" x14ac:dyDescent="0.2">
      <c r="A54" s="265" t="s">
        <v>381</v>
      </c>
      <c r="B54" s="269">
        <v>73809.413466176396</v>
      </c>
      <c r="C54" s="265" t="s">
        <v>419</v>
      </c>
      <c r="D54" s="269">
        <v>56.311</v>
      </c>
      <c r="E54" s="265">
        <v>0.375</v>
      </c>
      <c r="F54" s="265" t="s">
        <v>318</v>
      </c>
      <c r="H54" s="181"/>
      <c r="I54" s="181"/>
      <c r="J54" s="181"/>
      <c r="K54" s="181"/>
      <c r="L54" s="181"/>
      <c r="M54" s="181"/>
      <c r="N54" s="181"/>
      <c r="O54" s="181"/>
      <c r="P54" s="181"/>
      <c r="Q54" s="181"/>
      <c r="R54" s="181"/>
      <c r="S54" s="181"/>
      <c r="T54" s="181"/>
      <c r="U54" s="181"/>
      <c r="V54" s="181"/>
      <c r="W54" s="181"/>
      <c r="X54" s="181"/>
      <c r="Y54" s="181"/>
      <c r="Z54" s="181"/>
      <c r="AA54" s="181"/>
      <c r="AB54" s="181"/>
      <c r="AC54" s="181"/>
      <c r="AD54" s="181"/>
      <c r="AE54" s="181"/>
      <c r="AF54" s="181"/>
    </row>
    <row r="55" spans="1:32" x14ac:dyDescent="0.2">
      <c r="A55" s="265" t="s">
        <v>382</v>
      </c>
      <c r="B55" s="269">
        <v>73809.413466176396</v>
      </c>
      <c r="C55" s="265" t="s">
        <v>419</v>
      </c>
      <c r="D55" s="269">
        <v>56.311</v>
      </c>
      <c r="E55" s="265">
        <v>0.375</v>
      </c>
      <c r="F55" s="265" t="s">
        <v>318</v>
      </c>
      <c r="H55" s="181"/>
      <c r="I55" s="181"/>
      <c r="J55" s="181"/>
      <c r="K55" s="181"/>
      <c r="L55" s="181"/>
      <c r="M55" s="181"/>
      <c r="N55" s="181"/>
      <c r="O55" s="181"/>
      <c r="P55" s="181"/>
      <c r="Q55" s="181"/>
      <c r="R55" s="181"/>
      <c r="S55" s="181"/>
      <c r="T55" s="181"/>
      <c r="U55" s="181"/>
      <c r="V55" s="181"/>
      <c r="W55" s="181"/>
      <c r="X55" s="181"/>
      <c r="Y55" s="181"/>
      <c r="Z55" s="181"/>
      <c r="AA55" s="181"/>
      <c r="AB55" s="181"/>
      <c r="AC55" s="181"/>
      <c r="AD55" s="181"/>
      <c r="AE55" s="181"/>
      <c r="AF55" s="181"/>
    </row>
    <row r="56" spans="1:32" x14ac:dyDescent="0.2">
      <c r="A56" s="265" t="s">
        <v>383</v>
      </c>
      <c r="B56" s="269">
        <v>32804.183762745102</v>
      </c>
      <c r="C56" s="265" t="s">
        <v>439</v>
      </c>
      <c r="D56" s="269">
        <v>25.027000000000001</v>
      </c>
      <c r="E56" s="265">
        <v>0.5625</v>
      </c>
      <c r="F56" s="265" t="s">
        <v>318</v>
      </c>
      <c r="H56" s="181"/>
      <c r="I56" s="181"/>
      <c r="J56" s="181"/>
      <c r="K56" s="181"/>
      <c r="L56" s="181"/>
      <c r="M56" s="181"/>
      <c r="N56" s="181"/>
      <c r="O56" s="181"/>
      <c r="P56" s="181"/>
      <c r="Q56" s="181"/>
      <c r="R56" s="181"/>
      <c r="S56" s="181"/>
      <c r="T56" s="181"/>
      <c r="U56" s="181"/>
      <c r="V56" s="181"/>
      <c r="W56" s="181"/>
      <c r="X56" s="181"/>
      <c r="Y56" s="181"/>
      <c r="Z56" s="181"/>
      <c r="AA56" s="181"/>
      <c r="AB56" s="181"/>
      <c r="AC56" s="181"/>
      <c r="AD56" s="181"/>
      <c r="AE56" s="181"/>
      <c r="AF56" s="181"/>
    </row>
    <row r="57" spans="1:32" x14ac:dyDescent="0.2">
      <c r="A57" s="265" t="s">
        <v>384</v>
      </c>
      <c r="B57" s="269">
        <v>32804.183762745102</v>
      </c>
      <c r="C57" s="265" t="s">
        <v>439</v>
      </c>
      <c r="D57" s="269">
        <v>25.027000000000001</v>
      </c>
      <c r="E57" s="265">
        <v>0.5625</v>
      </c>
      <c r="F57" s="265" t="s">
        <v>318</v>
      </c>
      <c r="H57" s="181"/>
      <c r="I57" s="181"/>
      <c r="J57" s="181"/>
      <c r="K57" s="181"/>
      <c r="L57" s="181"/>
      <c r="M57" s="181"/>
      <c r="N57" s="181"/>
      <c r="O57" s="181"/>
      <c r="P57" s="181"/>
      <c r="Q57" s="181"/>
      <c r="R57" s="181"/>
      <c r="S57" s="181"/>
      <c r="T57" s="181"/>
      <c r="U57" s="181"/>
      <c r="V57" s="181"/>
      <c r="W57" s="181"/>
      <c r="X57" s="181"/>
      <c r="Y57" s="181"/>
      <c r="Z57" s="181"/>
      <c r="AA57" s="181"/>
      <c r="AB57" s="181"/>
      <c r="AC57" s="181"/>
      <c r="AD57" s="181"/>
      <c r="AE57" s="181"/>
      <c r="AF57" s="181"/>
    </row>
    <row r="58" spans="1:32" x14ac:dyDescent="0.2">
      <c r="A58" s="265" t="s">
        <v>385</v>
      </c>
      <c r="B58" s="269">
        <v>18452.353366544099</v>
      </c>
      <c r="C58" s="265" t="s">
        <v>440</v>
      </c>
      <c r="D58" s="269">
        <v>14.077999999999999</v>
      </c>
      <c r="E58" s="265">
        <v>0.75</v>
      </c>
      <c r="F58" s="265" t="s">
        <v>318</v>
      </c>
      <c r="H58" s="181"/>
      <c r="I58" s="181"/>
      <c r="J58" s="181"/>
      <c r="K58" s="181"/>
      <c r="L58" s="181"/>
      <c r="M58" s="181"/>
      <c r="N58" s="181"/>
      <c r="O58" s="181"/>
      <c r="P58" s="181"/>
      <c r="Q58" s="181"/>
      <c r="R58" s="181"/>
      <c r="S58" s="181"/>
      <c r="T58" s="181"/>
      <c r="U58" s="181"/>
      <c r="V58" s="181"/>
      <c r="W58" s="181"/>
      <c r="X58" s="181"/>
      <c r="Y58" s="181"/>
      <c r="Z58" s="181"/>
      <c r="AA58" s="181"/>
      <c r="AB58" s="181"/>
      <c r="AC58" s="181"/>
      <c r="AD58" s="181"/>
      <c r="AE58" s="181"/>
      <c r="AF58" s="181"/>
    </row>
    <row r="59" spans="1:32" x14ac:dyDescent="0.2">
      <c r="A59" s="265" t="s">
        <v>386</v>
      </c>
      <c r="B59" s="269">
        <v>18452.353366544099</v>
      </c>
      <c r="C59" s="265" t="s">
        <v>440</v>
      </c>
      <c r="D59" s="269">
        <v>14.077999999999999</v>
      </c>
      <c r="E59" s="265">
        <v>0.75</v>
      </c>
      <c r="F59" s="265" t="s">
        <v>318</v>
      </c>
      <c r="H59" s="181"/>
      <c r="I59" s="181"/>
      <c r="J59" s="181"/>
      <c r="K59" s="181"/>
      <c r="L59" s="181"/>
      <c r="M59" s="181"/>
      <c r="N59" s="181"/>
      <c r="O59" s="181"/>
      <c r="P59" s="181"/>
      <c r="Q59" s="181"/>
      <c r="R59" s="181"/>
      <c r="S59" s="181"/>
      <c r="T59" s="181"/>
      <c r="U59" s="181"/>
      <c r="V59" s="181"/>
      <c r="W59" s="181"/>
      <c r="X59" s="181"/>
      <c r="Y59" s="181"/>
      <c r="Z59" s="181"/>
      <c r="AA59" s="181"/>
      <c r="AB59" s="181"/>
      <c r="AC59" s="181"/>
      <c r="AD59" s="181"/>
      <c r="AE59" s="181"/>
      <c r="AF59" s="181"/>
    </row>
    <row r="60" spans="1:32" x14ac:dyDescent="0.2">
      <c r="A60" s="265" t="s">
        <v>387</v>
      </c>
      <c r="B60" s="269">
        <v>4613.0883416360202</v>
      </c>
      <c r="C60" s="265" t="s">
        <v>426</v>
      </c>
      <c r="D60" s="269">
        <v>3.5190000000000001</v>
      </c>
      <c r="E60" s="265">
        <v>1.5</v>
      </c>
      <c r="F60" s="265" t="s">
        <v>318</v>
      </c>
      <c r="H60" s="181"/>
      <c r="I60" s="181"/>
      <c r="J60" s="181"/>
      <c r="K60" s="181"/>
      <c r="L60" s="181"/>
      <c r="M60" s="181"/>
      <c r="N60" s="181"/>
      <c r="O60" s="181"/>
      <c r="P60" s="181"/>
      <c r="Q60" s="181"/>
      <c r="R60" s="181"/>
      <c r="S60" s="181"/>
      <c r="T60" s="181"/>
      <c r="U60" s="181"/>
      <c r="V60" s="181"/>
      <c r="W60" s="181"/>
      <c r="X60" s="181"/>
      <c r="Y60" s="181"/>
      <c r="Z60" s="181"/>
      <c r="AA60" s="181"/>
      <c r="AB60" s="181"/>
      <c r="AC60" s="181"/>
      <c r="AD60" s="181"/>
      <c r="AE60" s="181"/>
      <c r="AF60" s="181"/>
    </row>
    <row r="61" spans="1:32" x14ac:dyDescent="0.2">
      <c r="A61" s="265" t="s">
        <v>388</v>
      </c>
      <c r="B61" s="269">
        <v>2050.2614851715698</v>
      </c>
      <c r="C61" s="265" t="s">
        <v>441</v>
      </c>
      <c r="D61" s="269">
        <v>1.5640000000000001</v>
      </c>
      <c r="E61" s="265">
        <v>2.25</v>
      </c>
      <c r="F61" s="265" t="s">
        <v>318</v>
      </c>
      <c r="H61" s="181"/>
      <c r="I61" s="181"/>
      <c r="J61" s="181"/>
      <c r="K61" s="181"/>
      <c r="L61" s="181"/>
      <c r="M61" s="181"/>
      <c r="N61" s="181"/>
      <c r="O61" s="181"/>
      <c r="P61" s="181"/>
      <c r="Q61" s="181"/>
      <c r="R61" s="181"/>
      <c r="S61" s="181"/>
      <c r="T61" s="181"/>
      <c r="U61" s="181"/>
      <c r="V61" s="181"/>
      <c r="W61" s="181"/>
      <c r="X61" s="181"/>
      <c r="Y61" s="181"/>
      <c r="Z61" s="181"/>
      <c r="AA61" s="181"/>
      <c r="AB61" s="181"/>
      <c r="AC61" s="181"/>
      <c r="AD61" s="181"/>
      <c r="AE61" s="181"/>
      <c r="AF61" s="181"/>
    </row>
    <row r="62" spans="1:32" x14ac:dyDescent="0.2">
      <c r="A62" s="265" t="s">
        <v>389</v>
      </c>
      <c r="B62" s="269">
        <v>1153.2720854090101</v>
      </c>
      <c r="C62" s="265" t="s">
        <v>442</v>
      </c>
      <c r="D62" s="269">
        <v>0.88</v>
      </c>
      <c r="E62" s="265">
        <v>3</v>
      </c>
      <c r="F62" s="265" t="s">
        <v>318</v>
      </c>
      <c r="H62" s="181"/>
      <c r="I62" s="181"/>
      <c r="J62" s="181"/>
      <c r="K62" s="181"/>
      <c r="L62" s="181"/>
      <c r="M62" s="181"/>
      <c r="N62" s="181"/>
      <c r="O62" s="181"/>
      <c r="P62" s="181"/>
      <c r="Q62" s="181"/>
      <c r="R62" s="181"/>
      <c r="S62" s="181"/>
      <c r="T62" s="181"/>
      <c r="U62" s="181"/>
      <c r="V62" s="181"/>
      <c r="W62" s="181"/>
      <c r="X62" s="181"/>
      <c r="Y62" s="181"/>
      <c r="Z62" s="181"/>
      <c r="AA62" s="181"/>
      <c r="AB62" s="181"/>
      <c r="AC62" s="181"/>
      <c r="AD62" s="181"/>
      <c r="AE62" s="181"/>
      <c r="AF62" s="181"/>
    </row>
    <row r="63" spans="1:32" x14ac:dyDescent="0.2">
      <c r="A63" s="265" t="s">
        <v>390</v>
      </c>
      <c r="B63" s="270">
        <v>738.09413466176397</v>
      </c>
      <c r="C63" s="265" t="s">
        <v>416</v>
      </c>
      <c r="D63" s="270">
        <v>0.56299999999999994</v>
      </c>
      <c r="E63" s="265">
        <v>3.75</v>
      </c>
      <c r="F63" s="265" t="s">
        <v>323</v>
      </c>
      <c r="H63" s="181"/>
      <c r="I63" s="181"/>
      <c r="J63" s="181"/>
      <c r="K63" s="181"/>
      <c r="L63" s="181"/>
      <c r="M63" s="181"/>
      <c r="N63" s="181"/>
      <c r="O63" s="181"/>
      <c r="P63" s="181"/>
      <c r="Q63" s="181"/>
      <c r="R63" s="181"/>
      <c r="S63" s="181"/>
      <c r="T63" s="181"/>
      <c r="U63" s="181"/>
      <c r="V63" s="181"/>
      <c r="W63" s="181"/>
      <c r="X63" s="181"/>
      <c r="Y63" s="181"/>
      <c r="Z63" s="181"/>
      <c r="AA63" s="181"/>
      <c r="AB63" s="181"/>
      <c r="AC63" s="181"/>
      <c r="AD63" s="181"/>
      <c r="AE63" s="181"/>
      <c r="AF63" s="181"/>
    </row>
    <row r="64" spans="1:32" x14ac:dyDescent="0.2">
      <c r="A64" s="265" t="s">
        <v>391</v>
      </c>
      <c r="B64" s="270">
        <v>512.565371292892</v>
      </c>
      <c r="C64" s="265" t="s">
        <v>443</v>
      </c>
      <c r="D64" s="270">
        <v>0.39100000000000001</v>
      </c>
      <c r="E64" s="265">
        <v>4.5</v>
      </c>
      <c r="F64" s="265" t="s">
        <v>323</v>
      </c>
      <c r="H64" s="181"/>
      <c r="I64" s="181"/>
      <c r="J64" s="181"/>
      <c r="K64" s="181"/>
      <c r="L64" s="181"/>
      <c r="M64" s="181"/>
      <c r="N64" s="181"/>
      <c r="O64" s="181"/>
      <c r="P64" s="181"/>
      <c r="Q64" s="181"/>
      <c r="R64" s="181"/>
      <c r="S64" s="181"/>
      <c r="T64" s="181"/>
      <c r="U64" s="181"/>
      <c r="V64" s="181"/>
      <c r="W64" s="181"/>
      <c r="X64" s="181"/>
      <c r="Y64" s="181"/>
      <c r="Z64" s="181"/>
      <c r="AA64" s="181"/>
      <c r="AB64" s="181"/>
      <c r="AC64" s="181"/>
      <c r="AD64" s="181"/>
      <c r="AE64" s="181"/>
      <c r="AF64" s="181"/>
    </row>
    <row r="65" spans="1:32" x14ac:dyDescent="0.2">
      <c r="H65" s="181"/>
      <c r="I65" s="181"/>
      <c r="J65" s="181"/>
      <c r="K65" s="181"/>
      <c r="L65" s="181"/>
      <c r="M65" s="181"/>
      <c r="N65" s="181"/>
      <c r="O65" s="181"/>
      <c r="P65" s="181"/>
      <c r="Q65" s="181"/>
      <c r="R65" s="181"/>
      <c r="S65" s="181"/>
      <c r="T65" s="181"/>
      <c r="U65" s="181"/>
      <c r="V65" s="181"/>
      <c r="W65" s="181"/>
      <c r="X65" s="181"/>
      <c r="Y65" s="181"/>
      <c r="Z65" s="181"/>
      <c r="AA65" s="181"/>
      <c r="AB65" s="181"/>
      <c r="AC65" s="181"/>
      <c r="AD65" s="181"/>
      <c r="AE65" s="181"/>
      <c r="AF65" s="181"/>
    </row>
    <row r="66" spans="1:32" x14ac:dyDescent="0.2">
      <c r="A66" s="181" t="s">
        <v>444</v>
      </c>
      <c r="H66" s="181"/>
      <c r="I66" s="181"/>
      <c r="J66" s="181"/>
      <c r="K66" s="181"/>
      <c r="L66" s="181"/>
      <c r="M66" s="181"/>
      <c r="N66" s="181"/>
      <c r="O66" s="181"/>
      <c r="P66" s="181"/>
      <c r="Q66" s="181"/>
      <c r="R66" s="181"/>
      <c r="S66" s="181"/>
      <c r="T66" s="181"/>
      <c r="U66" s="181"/>
      <c r="V66" s="181"/>
      <c r="W66" s="181"/>
      <c r="X66" s="181"/>
      <c r="Y66" s="181"/>
      <c r="Z66" s="181"/>
      <c r="AA66" s="181"/>
      <c r="AB66" s="181"/>
      <c r="AC66" s="181"/>
      <c r="AD66" s="181"/>
      <c r="AE66" s="181"/>
      <c r="AF66" s="181"/>
    </row>
    <row r="67" spans="1:32" x14ac:dyDescent="0.2">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c r="AF67" s="181"/>
    </row>
    <row r="68" spans="1:32" x14ac:dyDescent="0.2">
      <c r="H68" s="181"/>
      <c r="I68" s="181"/>
      <c r="J68" s="181"/>
      <c r="K68" s="181"/>
      <c r="L68" s="181"/>
      <c r="M68" s="181"/>
      <c r="N68" s="181"/>
      <c r="O68" s="181"/>
      <c r="P68" s="181"/>
      <c r="Q68" s="181"/>
      <c r="R68" s="181"/>
      <c r="S68" s="181"/>
      <c r="T68" s="181"/>
      <c r="U68" s="181"/>
      <c r="V68" s="181"/>
      <c r="W68" s="181"/>
      <c r="X68" s="181"/>
      <c r="Y68" s="181"/>
      <c r="Z68" s="181"/>
      <c r="AA68" s="181"/>
      <c r="AB68" s="181"/>
      <c r="AC68" s="181"/>
      <c r="AD68" s="181"/>
      <c r="AE68" s="181"/>
      <c r="AF68" s="181"/>
    </row>
    <row r="69" spans="1:32" x14ac:dyDescent="0.2">
      <c r="H69" s="181"/>
      <c r="I69" s="181"/>
      <c r="J69" s="181"/>
      <c r="K69" s="181"/>
      <c r="L69" s="181"/>
      <c r="M69" s="181"/>
      <c r="N69" s="181"/>
      <c r="O69" s="181"/>
      <c r="P69" s="181"/>
      <c r="Q69" s="181"/>
      <c r="R69" s="181"/>
      <c r="S69" s="181"/>
      <c r="T69" s="181"/>
      <c r="U69" s="181"/>
      <c r="V69" s="181"/>
      <c r="W69" s="181"/>
      <c r="X69" s="181"/>
      <c r="Y69" s="181"/>
      <c r="Z69" s="181"/>
      <c r="AA69" s="181"/>
      <c r="AB69" s="181"/>
      <c r="AC69" s="181"/>
      <c r="AD69" s="181"/>
      <c r="AE69" s="181"/>
      <c r="AF69" s="181"/>
    </row>
    <row r="70" spans="1:32" x14ac:dyDescent="0.2">
      <c r="H70" s="181"/>
      <c r="I70" s="181"/>
      <c r="J70" s="181"/>
      <c r="K70" s="181"/>
      <c r="L70" s="181"/>
      <c r="M70" s="181"/>
      <c r="N70" s="181"/>
      <c r="O70" s="181"/>
      <c r="P70" s="181"/>
      <c r="Q70" s="181"/>
      <c r="R70" s="181"/>
      <c r="S70" s="181"/>
      <c r="T70" s="181"/>
      <c r="U70" s="181"/>
      <c r="V70" s="181"/>
      <c r="W70" s="181"/>
      <c r="X70" s="181"/>
      <c r="Y70" s="181"/>
      <c r="Z70" s="181"/>
      <c r="AA70" s="181"/>
      <c r="AB70" s="181"/>
      <c r="AC70" s="181"/>
      <c r="AD70" s="181"/>
      <c r="AE70" s="181"/>
      <c r="AF70" s="181"/>
    </row>
    <row r="71" spans="1:32" x14ac:dyDescent="0.2">
      <c r="H71" s="181"/>
      <c r="I71" s="181"/>
      <c r="J71" s="181"/>
      <c r="K71" s="181"/>
      <c r="L71" s="181"/>
      <c r="M71" s="181"/>
      <c r="N71" s="181"/>
      <c r="O71" s="181"/>
      <c r="P71" s="181"/>
      <c r="Q71" s="181"/>
      <c r="R71" s="181"/>
      <c r="S71" s="181"/>
      <c r="T71" s="181"/>
      <c r="U71" s="181"/>
      <c r="V71" s="181"/>
      <c r="W71" s="181"/>
      <c r="X71" s="181"/>
      <c r="Y71" s="181"/>
      <c r="Z71" s="181"/>
      <c r="AA71" s="181"/>
      <c r="AB71" s="181"/>
      <c r="AC71" s="181"/>
      <c r="AD71" s="181"/>
      <c r="AE71" s="181"/>
      <c r="AF71" s="181"/>
    </row>
    <row r="72" spans="1:32" x14ac:dyDescent="0.2">
      <c r="H72" s="181"/>
      <c r="I72" s="181"/>
      <c r="J72" s="181"/>
      <c r="K72" s="181"/>
      <c r="L72" s="181"/>
      <c r="M72" s="181"/>
      <c r="N72" s="181"/>
      <c r="O72" s="181"/>
      <c r="P72" s="181"/>
      <c r="Q72" s="181"/>
      <c r="R72" s="181"/>
      <c r="S72" s="181"/>
      <c r="T72" s="181"/>
      <c r="U72" s="181"/>
      <c r="V72" s="181"/>
      <c r="W72" s="181"/>
      <c r="X72" s="181"/>
      <c r="Y72" s="181"/>
      <c r="Z72" s="181"/>
      <c r="AA72" s="181"/>
      <c r="AB72" s="181"/>
      <c r="AC72" s="181"/>
      <c r="AD72" s="181"/>
      <c r="AE72" s="181"/>
      <c r="AF72" s="181"/>
    </row>
    <row r="73" spans="1:32" x14ac:dyDescent="0.2">
      <c r="H73" s="181"/>
      <c r="I73" s="181"/>
      <c r="J73" s="181"/>
      <c r="K73" s="181"/>
      <c r="L73" s="181"/>
      <c r="M73" s="181"/>
      <c r="N73" s="181"/>
      <c r="O73" s="181"/>
      <c r="P73" s="181"/>
      <c r="Q73" s="181"/>
      <c r="R73" s="181"/>
      <c r="S73" s="181"/>
      <c r="T73" s="181"/>
      <c r="U73" s="181"/>
      <c r="V73" s="181"/>
      <c r="W73" s="181"/>
      <c r="X73" s="181"/>
      <c r="Y73" s="181"/>
      <c r="Z73" s="181"/>
      <c r="AA73" s="181"/>
      <c r="AB73" s="181"/>
      <c r="AC73" s="181"/>
      <c r="AD73" s="181"/>
      <c r="AE73" s="181"/>
      <c r="AF73" s="181"/>
    </row>
    <row r="74" spans="1:32" x14ac:dyDescent="0.2">
      <c r="H74" s="181"/>
      <c r="I74" s="181"/>
      <c r="J74" s="181"/>
      <c r="K74" s="181"/>
      <c r="L74" s="181"/>
      <c r="M74" s="181"/>
      <c r="N74" s="181"/>
      <c r="O74" s="181"/>
      <c r="P74" s="181"/>
      <c r="Q74" s="181"/>
      <c r="R74" s="181"/>
      <c r="S74" s="181"/>
      <c r="T74" s="181"/>
      <c r="U74" s="181"/>
      <c r="V74" s="181"/>
      <c r="W74" s="181"/>
      <c r="X74" s="181"/>
      <c r="Y74" s="181"/>
      <c r="Z74" s="181"/>
      <c r="AA74" s="181"/>
      <c r="AB74" s="181"/>
      <c r="AC74" s="181"/>
      <c r="AD74" s="181"/>
      <c r="AE74" s="181"/>
      <c r="AF74" s="181"/>
    </row>
    <row r="75" spans="1:32" x14ac:dyDescent="0.2">
      <c r="H75" s="181"/>
      <c r="I75" s="181"/>
      <c r="J75" s="181"/>
      <c r="K75" s="181"/>
      <c r="L75" s="181"/>
      <c r="M75" s="181"/>
      <c r="N75" s="181"/>
      <c r="O75" s="181"/>
      <c r="P75" s="181"/>
      <c r="Q75" s="181"/>
      <c r="R75" s="181"/>
      <c r="S75" s="181"/>
      <c r="T75" s="181"/>
      <c r="U75" s="181"/>
      <c r="V75" s="181"/>
      <c r="W75" s="181"/>
      <c r="X75" s="181"/>
      <c r="Y75" s="181"/>
      <c r="Z75" s="181"/>
      <c r="AA75" s="181"/>
      <c r="AB75" s="181"/>
      <c r="AC75" s="181"/>
      <c r="AD75" s="181"/>
      <c r="AE75" s="181"/>
      <c r="AF75" s="181"/>
    </row>
    <row r="76" spans="1:32" x14ac:dyDescent="0.2">
      <c r="H76" s="181"/>
      <c r="I76" s="181"/>
      <c r="J76" s="181"/>
      <c r="K76" s="181"/>
      <c r="L76" s="181"/>
      <c r="M76" s="181"/>
      <c r="N76" s="181"/>
      <c r="O76" s="181"/>
      <c r="P76" s="181"/>
      <c r="Q76" s="181"/>
      <c r="R76" s="181"/>
      <c r="S76" s="181"/>
      <c r="T76" s="181"/>
      <c r="U76" s="181"/>
      <c r="V76" s="181"/>
      <c r="W76" s="181"/>
      <c r="X76" s="181"/>
      <c r="Y76" s="181"/>
      <c r="Z76" s="181"/>
      <c r="AA76" s="181"/>
      <c r="AB76" s="181"/>
      <c r="AC76" s="181"/>
      <c r="AD76" s="181"/>
      <c r="AE76" s="181"/>
      <c r="AF76" s="181"/>
    </row>
    <row r="77" spans="1:32" x14ac:dyDescent="0.2">
      <c r="H77" s="181"/>
      <c r="I77" s="181"/>
      <c r="J77" s="181"/>
      <c r="K77" s="181"/>
      <c r="L77" s="181"/>
      <c r="M77" s="181"/>
      <c r="N77" s="181"/>
      <c r="O77" s="181"/>
      <c r="P77" s="181"/>
      <c r="Q77" s="181"/>
      <c r="R77" s="181"/>
      <c r="S77" s="181"/>
      <c r="T77" s="181"/>
      <c r="U77" s="181"/>
      <c r="V77" s="181"/>
      <c r="W77" s="181"/>
      <c r="X77" s="181"/>
      <c r="Y77" s="181"/>
      <c r="Z77" s="181"/>
      <c r="AA77" s="181"/>
      <c r="AB77" s="181"/>
      <c r="AC77" s="181"/>
      <c r="AD77" s="181"/>
      <c r="AE77" s="181"/>
      <c r="AF77" s="181"/>
    </row>
    <row r="78" spans="1:32" x14ac:dyDescent="0.2">
      <c r="H78" s="181"/>
      <c r="I78" s="181"/>
      <c r="J78" s="181"/>
      <c r="K78" s="181"/>
      <c r="L78" s="181"/>
      <c r="M78" s="181"/>
      <c r="N78" s="181"/>
      <c r="O78" s="181"/>
      <c r="P78" s="181"/>
      <c r="Q78" s="181"/>
      <c r="R78" s="181"/>
      <c r="S78" s="181"/>
      <c r="T78" s="181"/>
      <c r="U78" s="181"/>
      <c r="V78" s="181"/>
      <c r="W78" s="181"/>
      <c r="X78" s="181"/>
      <c r="Y78" s="181"/>
      <c r="Z78" s="181"/>
      <c r="AA78" s="181"/>
      <c r="AB78" s="181"/>
      <c r="AC78" s="181"/>
      <c r="AD78" s="181"/>
      <c r="AE78" s="181"/>
      <c r="AF78" s="181"/>
    </row>
    <row r="79" spans="1:32" x14ac:dyDescent="0.2">
      <c r="H79" s="181"/>
      <c r="I79" s="181"/>
      <c r="J79" s="181"/>
      <c r="K79" s="181"/>
      <c r="L79" s="181"/>
      <c r="M79" s="181"/>
      <c r="N79" s="181"/>
      <c r="O79" s="181"/>
      <c r="P79" s="181"/>
      <c r="Q79" s="181"/>
      <c r="R79" s="181"/>
      <c r="S79" s="181"/>
      <c r="T79" s="181"/>
      <c r="U79" s="181"/>
      <c r="V79" s="181"/>
      <c r="W79" s="181"/>
      <c r="X79" s="181"/>
      <c r="Y79" s="181"/>
      <c r="Z79" s="181"/>
      <c r="AA79" s="181"/>
      <c r="AB79" s="181"/>
      <c r="AC79" s="181"/>
      <c r="AD79" s="181"/>
      <c r="AE79" s="181"/>
      <c r="AF79" s="181"/>
    </row>
    <row r="80" spans="1:32" x14ac:dyDescent="0.2">
      <c r="H80" s="181"/>
      <c r="I80" s="181"/>
      <c r="J80" s="181"/>
      <c r="K80" s="181"/>
      <c r="L80" s="181"/>
      <c r="M80" s="181"/>
      <c r="N80" s="181"/>
      <c r="O80" s="181"/>
      <c r="P80" s="181"/>
      <c r="Q80" s="181"/>
      <c r="R80" s="181"/>
      <c r="S80" s="181"/>
      <c r="T80" s="181"/>
      <c r="U80" s="181"/>
      <c r="V80" s="181"/>
      <c r="W80" s="181"/>
      <c r="X80" s="181"/>
      <c r="Y80" s="181"/>
      <c r="Z80" s="181"/>
      <c r="AA80" s="181"/>
      <c r="AB80" s="181"/>
      <c r="AC80" s="181"/>
      <c r="AD80" s="181"/>
      <c r="AE80" s="181"/>
      <c r="AF80" s="181"/>
    </row>
    <row r="81" spans="8:32" x14ac:dyDescent="0.2">
      <c r="H81" s="181"/>
      <c r="I81" s="181"/>
      <c r="J81" s="181"/>
      <c r="K81" s="181"/>
      <c r="L81" s="181"/>
      <c r="M81" s="181"/>
      <c r="N81" s="181"/>
      <c r="O81" s="181"/>
      <c r="P81" s="181"/>
      <c r="Q81" s="181"/>
      <c r="R81" s="181"/>
      <c r="S81" s="181"/>
      <c r="T81" s="181"/>
      <c r="U81" s="181"/>
      <c r="V81" s="181"/>
      <c r="W81" s="181"/>
      <c r="X81" s="181"/>
      <c r="Y81" s="181"/>
      <c r="Z81" s="181"/>
      <c r="AA81" s="181"/>
      <c r="AB81" s="181"/>
      <c r="AC81" s="181"/>
      <c r="AD81" s="181"/>
      <c r="AE81" s="181"/>
      <c r="AF81" s="181"/>
    </row>
    <row r="82" spans="8:32" x14ac:dyDescent="0.2">
      <c r="H82" s="181"/>
      <c r="I82" s="181"/>
      <c r="J82" s="181"/>
      <c r="K82" s="181"/>
      <c r="L82" s="181"/>
      <c r="M82" s="181"/>
      <c r="N82" s="181"/>
      <c r="O82" s="181"/>
      <c r="P82" s="181"/>
      <c r="Q82" s="181"/>
      <c r="R82" s="181"/>
      <c r="S82" s="181"/>
      <c r="T82" s="181"/>
      <c r="U82" s="181"/>
      <c r="V82" s="181"/>
      <c r="W82" s="181"/>
      <c r="X82" s="181"/>
      <c r="Y82" s="181"/>
      <c r="Z82" s="181"/>
      <c r="AA82" s="181"/>
      <c r="AB82" s="181"/>
      <c r="AC82" s="181"/>
      <c r="AD82" s="181"/>
      <c r="AE82" s="181"/>
      <c r="AF82" s="181"/>
    </row>
    <row r="83" spans="8:32" x14ac:dyDescent="0.2">
      <c r="H83" s="181"/>
      <c r="I83" s="181"/>
      <c r="J83" s="181"/>
      <c r="K83" s="181"/>
      <c r="L83" s="181"/>
      <c r="M83" s="181"/>
      <c r="N83" s="181"/>
      <c r="O83" s="181"/>
      <c r="P83" s="181"/>
      <c r="Q83" s="181"/>
      <c r="R83" s="181"/>
      <c r="S83" s="181"/>
      <c r="T83" s="181"/>
      <c r="U83" s="181"/>
      <c r="V83" s="181"/>
      <c r="W83" s="181"/>
      <c r="X83" s="181"/>
      <c r="Y83" s="181"/>
      <c r="Z83" s="181"/>
      <c r="AA83" s="181"/>
      <c r="AB83" s="181"/>
      <c r="AC83" s="181"/>
      <c r="AD83" s="181"/>
      <c r="AE83" s="181"/>
      <c r="AF83" s="181"/>
    </row>
    <row r="84" spans="8:32" x14ac:dyDescent="0.2">
      <c r="H84" s="181"/>
      <c r="I84" s="181"/>
      <c r="J84" s="181"/>
      <c r="K84" s="181"/>
      <c r="L84" s="181"/>
      <c r="M84" s="181"/>
      <c r="N84" s="181"/>
      <c r="O84" s="181"/>
      <c r="P84" s="181"/>
      <c r="Q84" s="181"/>
      <c r="R84" s="181"/>
      <c r="S84" s="181"/>
      <c r="T84" s="181"/>
      <c r="U84" s="181"/>
      <c r="V84" s="181"/>
      <c r="W84" s="181"/>
      <c r="X84" s="181"/>
      <c r="Y84" s="181"/>
      <c r="Z84" s="181"/>
      <c r="AA84" s="181"/>
      <c r="AB84" s="181"/>
      <c r="AC84" s="181"/>
      <c r="AD84" s="181"/>
      <c r="AE84" s="181"/>
      <c r="AF84" s="181"/>
    </row>
    <row r="85" spans="8:32" x14ac:dyDescent="0.2">
      <c r="H85" s="181"/>
      <c r="I85" s="181"/>
      <c r="J85" s="181"/>
      <c r="K85" s="181"/>
      <c r="L85" s="181"/>
      <c r="M85" s="181"/>
      <c r="N85" s="181"/>
      <c r="O85" s="181"/>
      <c r="P85" s="181"/>
      <c r="Q85" s="181"/>
      <c r="R85" s="181"/>
      <c r="S85" s="181"/>
      <c r="T85" s="181"/>
      <c r="U85" s="181"/>
      <c r="V85" s="181"/>
      <c r="W85" s="181"/>
      <c r="X85" s="181"/>
      <c r="Y85" s="181"/>
      <c r="Z85" s="181"/>
      <c r="AA85" s="181"/>
      <c r="AB85" s="181"/>
      <c r="AC85" s="181"/>
      <c r="AD85" s="181"/>
      <c r="AE85" s="181"/>
      <c r="AF85" s="181"/>
    </row>
    <row r="86" spans="8:32" x14ac:dyDescent="0.2">
      <c r="H86" s="181"/>
      <c r="I86" s="181"/>
      <c r="J86" s="181"/>
      <c r="K86" s="181"/>
      <c r="L86" s="181"/>
      <c r="M86" s="181"/>
      <c r="N86" s="181"/>
      <c r="O86" s="181"/>
      <c r="P86" s="181"/>
      <c r="Q86" s="181"/>
      <c r="R86" s="181"/>
      <c r="S86" s="181"/>
      <c r="T86" s="181"/>
      <c r="U86" s="181"/>
      <c r="V86" s="181"/>
      <c r="W86" s="181"/>
      <c r="X86" s="181"/>
      <c r="Y86" s="181"/>
      <c r="Z86" s="181"/>
      <c r="AA86" s="181"/>
      <c r="AB86" s="181"/>
      <c r="AC86" s="181"/>
      <c r="AD86" s="181"/>
      <c r="AE86" s="181"/>
      <c r="AF86" s="181"/>
    </row>
    <row r="87" spans="8:32" x14ac:dyDescent="0.2">
      <c r="H87" s="181"/>
      <c r="I87" s="181"/>
      <c r="J87" s="181"/>
      <c r="K87" s="181"/>
      <c r="L87" s="181"/>
      <c r="M87" s="181"/>
      <c r="N87" s="181"/>
      <c r="O87" s="181"/>
      <c r="P87" s="181"/>
      <c r="Q87" s="181"/>
      <c r="R87" s="181"/>
      <c r="S87" s="181"/>
      <c r="T87" s="181"/>
      <c r="U87" s="181"/>
      <c r="V87" s="181"/>
      <c r="W87" s="181"/>
      <c r="X87" s="181"/>
      <c r="Y87" s="181"/>
      <c r="Z87" s="181"/>
      <c r="AA87" s="181"/>
      <c r="AB87" s="181"/>
      <c r="AC87" s="181"/>
      <c r="AD87" s="181"/>
      <c r="AE87" s="181"/>
      <c r="AF87" s="181"/>
    </row>
    <row r="88" spans="8:32" x14ac:dyDescent="0.2">
      <c r="H88" s="181"/>
      <c r="I88" s="181"/>
      <c r="J88" s="181"/>
      <c r="K88" s="181"/>
      <c r="L88" s="181"/>
      <c r="M88" s="181"/>
      <c r="N88" s="181"/>
      <c r="O88" s="181"/>
      <c r="P88" s="181"/>
      <c r="Q88" s="181"/>
      <c r="R88" s="181"/>
      <c r="S88" s="181"/>
      <c r="T88" s="181"/>
      <c r="U88" s="181"/>
      <c r="V88" s="181"/>
      <c r="W88" s="181"/>
      <c r="X88" s="181"/>
      <c r="Y88" s="181"/>
      <c r="Z88" s="181"/>
      <c r="AA88" s="181"/>
      <c r="AB88" s="181"/>
      <c r="AC88" s="181"/>
      <c r="AD88" s="181"/>
      <c r="AE88" s="181"/>
      <c r="AF88" s="181"/>
    </row>
    <row r="89" spans="8:32" x14ac:dyDescent="0.2">
      <c r="H89" s="181"/>
      <c r="I89" s="181"/>
      <c r="J89" s="181"/>
      <c r="K89" s="181"/>
      <c r="L89" s="181"/>
      <c r="M89" s="181"/>
      <c r="N89" s="181"/>
      <c r="O89" s="181"/>
      <c r="P89" s="181"/>
      <c r="Q89" s="181"/>
      <c r="R89" s="181"/>
      <c r="S89" s="181"/>
      <c r="T89" s="181"/>
      <c r="U89" s="181"/>
      <c r="V89" s="181"/>
      <c r="W89" s="181"/>
      <c r="X89" s="181"/>
      <c r="Y89" s="181"/>
      <c r="Z89" s="181"/>
      <c r="AA89" s="181"/>
      <c r="AB89" s="181"/>
      <c r="AC89" s="181"/>
      <c r="AD89" s="181"/>
      <c r="AE89" s="181"/>
      <c r="AF89" s="181"/>
    </row>
    <row r="90" spans="8:32" x14ac:dyDescent="0.2">
      <c r="H90" s="181"/>
      <c r="I90" s="181"/>
      <c r="J90" s="181"/>
      <c r="K90" s="181"/>
      <c r="L90" s="181"/>
      <c r="M90" s="181"/>
      <c r="N90" s="181"/>
      <c r="O90" s="181"/>
      <c r="P90" s="181"/>
      <c r="Q90" s="181"/>
      <c r="R90" s="181"/>
      <c r="S90" s="181"/>
      <c r="T90" s="181"/>
      <c r="U90" s="181"/>
      <c r="V90" s="181"/>
      <c r="W90" s="181"/>
      <c r="X90" s="181"/>
      <c r="Y90" s="181"/>
      <c r="Z90" s="181"/>
      <c r="AA90" s="181"/>
      <c r="AB90" s="181"/>
      <c r="AC90" s="181"/>
      <c r="AD90" s="181"/>
      <c r="AE90" s="181"/>
      <c r="AF90" s="181"/>
    </row>
    <row r="91" spans="8:32" x14ac:dyDescent="0.2">
      <c r="H91" s="181"/>
      <c r="I91" s="181"/>
      <c r="J91" s="181"/>
      <c r="K91" s="181"/>
      <c r="L91" s="181"/>
      <c r="M91" s="181"/>
      <c r="N91" s="181"/>
      <c r="O91" s="181"/>
      <c r="P91" s="181"/>
      <c r="Q91" s="181"/>
      <c r="R91" s="181"/>
      <c r="S91" s="181"/>
      <c r="T91" s="181"/>
      <c r="U91" s="181"/>
      <c r="V91" s="181"/>
      <c r="W91" s="181"/>
      <c r="X91" s="181"/>
      <c r="Y91" s="181"/>
      <c r="Z91" s="181"/>
      <c r="AA91" s="181"/>
      <c r="AB91" s="181"/>
      <c r="AC91" s="181"/>
      <c r="AD91" s="181"/>
      <c r="AE91" s="181"/>
      <c r="AF91" s="181"/>
    </row>
    <row r="92" spans="8:32" x14ac:dyDescent="0.2">
      <c r="H92" s="181"/>
      <c r="I92" s="181"/>
      <c r="J92" s="181"/>
      <c r="K92" s="181"/>
      <c r="L92" s="181"/>
      <c r="M92" s="181"/>
      <c r="N92" s="181"/>
      <c r="O92" s="181"/>
      <c r="P92" s="181"/>
      <c r="Q92" s="181"/>
      <c r="R92" s="181"/>
      <c r="S92" s="181"/>
      <c r="T92" s="181"/>
      <c r="U92" s="181"/>
      <c r="V92" s="181"/>
      <c r="W92" s="181"/>
      <c r="X92" s="181"/>
      <c r="Y92" s="181"/>
      <c r="Z92" s="181"/>
      <c r="AA92" s="181"/>
      <c r="AB92" s="181"/>
      <c r="AC92" s="181"/>
      <c r="AD92" s="181"/>
      <c r="AE92" s="181"/>
      <c r="AF92" s="181"/>
    </row>
    <row r="93" spans="8:32" x14ac:dyDescent="0.2">
      <c r="H93" s="181"/>
      <c r="I93" s="181"/>
      <c r="J93" s="181"/>
      <c r="K93" s="181"/>
      <c r="L93" s="181"/>
      <c r="M93" s="181"/>
      <c r="N93" s="181"/>
      <c r="O93" s="181"/>
      <c r="P93" s="181"/>
      <c r="Q93" s="181"/>
      <c r="R93" s="181"/>
      <c r="S93" s="181"/>
      <c r="T93" s="181"/>
      <c r="U93" s="181"/>
      <c r="V93" s="181"/>
      <c r="W93" s="181"/>
      <c r="X93" s="181"/>
      <c r="Y93" s="181"/>
      <c r="Z93" s="181"/>
      <c r="AA93" s="181"/>
      <c r="AB93" s="181"/>
      <c r="AC93" s="181"/>
      <c r="AD93" s="181"/>
      <c r="AE93" s="181"/>
      <c r="AF93" s="181"/>
    </row>
    <row r="94" spans="8:32" x14ac:dyDescent="0.2">
      <c r="H94" s="181"/>
      <c r="I94" s="181"/>
      <c r="J94" s="181"/>
      <c r="K94" s="181"/>
      <c r="L94" s="181"/>
      <c r="M94" s="181"/>
      <c r="N94" s="181"/>
      <c r="O94" s="181"/>
      <c r="P94" s="181"/>
      <c r="Q94" s="181"/>
      <c r="R94" s="181"/>
      <c r="S94" s="181"/>
      <c r="T94" s="181"/>
      <c r="U94" s="181"/>
      <c r="V94" s="181"/>
      <c r="W94" s="181"/>
      <c r="X94" s="181"/>
      <c r="Y94" s="181"/>
      <c r="Z94" s="181"/>
      <c r="AA94" s="181"/>
      <c r="AB94" s="181"/>
      <c r="AC94" s="181"/>
      <c r="AD94" s="181"/>
      <c r="AE94" s="181"/>
      <c r="AF94" s="181"/>
    </row>
    <row r="95" spans="8:32" x14ac:dyDescent="0.2">
      <c r="H95" s="181"/>
      <c r="I95" s="181"/>
      <c r="J95" s="181"/>
      <c r="K95" s="181"/>
      <c r="L95" s="181"/>
      <c r="M95" s="181"/>
      <c r="N95" s="181"/>
      <c r="O95" s="181"/>
      <c r="P95" s="181"/>
      <c r="Q95" s="181"/>
      <c r="R95" s="181"/>
      <c r="S95" s="181"/>
      <c r="T95" s="181"/>
      <c r="U95" s="181"/>
      <c r="V95" s="181"/>
      <c r="W95" s="181"/>
      <c r="X95" s="181"/>
      <c r="Y95" s="181"/>
      <c r="Z95" s="181"/>
      <c r="AA95" s="181"/>
      <c r="AB95" s="181"/>
      <c r="AC95" s="181"/>
      <c r="AD95" s="181"/>
      <c r="AE95" s="181"/>
      <c r="AF95" s="181"/>
    </row>
    <row r="96" spans="8:32" x14ac:dyDescent="0.2">
      <c r="H96" s="181"/>
      <c r="I96" s="181"/>
      <c r="J96" s="181"/>
      <c r="K96" s="181"/>
      <c r="L96" s="181"/>
      <c r="M96" s="181"/>
      <c r="N96" s="181"/>
      <c r="O96" s="181"/>
      <c r="P96" s="181"/>
      <c r="Q96" s="181"/>
      <c r="R96" s="181"/>
      <c r="S96" s="181"/>
      <c r="T96" s="181"/>
      <c r="U96" s="181"/>
      <c r="V96" s="181"/>
      <c r="W96" s="181"/>
      <c r="X96" s="181"/>
      <c r="Y96" s="181"/>
      <c r="Z96" s="181"/>
      <c r="AA96" s="181"/>
      <c r="AB96" s="181"/>
      <c r="AC96" s="181"/>
      <c r="AD96" s="181"/>
      <c r="AE96" s="181"/>
      <c r="AF96" s="181"/>
    </row>
    <row r="97" spans="8:32" x14ac:dyDescent="0.2">
      <c r="H97" s="181"/>
      <c r="I97" s="181"/>
      <c r="J97" s="181"/>
      <c r="K97" s="181"/>
      <c r="L97" s="181"/>
      <c r="M97" s="181"/>
      <c r="N97" s="181"/>
      <c r="O97" s="181"/>
      <c r="P97" s="181"/>
      <c r="Q97" s="181"/>
      <c r="R97" s="181"/>
      <c r="S97" s="181"/>
      <c r="T97" s="181"/>
      <c r="U97" s="181"/>
      <c r="V97" s="181"/>
      <c r="W97" s="181"/>
      <c r="X97" s="181"/>
      <c r="Y97" s="181"/>
      <c r="Z97" s="181"/>
      <c r="AA97" s="181"/>
      <c r="AB97" s="181"/>
      <c r="AC97" s="181"/>
      <c r="AD97" s="181"/>
      <c r="AE97" s="181"/>
      <c r="AF97" s="181"/>
    </row>
    <row r="98" spans="8:32" x14ac:dyDescent="0.2">
      <c r="H98" s="181"/>
      <c r="I98" s="181"/>
      <c r="J98" s="181"/>
      <c r="K98" s="181"/>
      <c r="L98" s="181"/>
      <c r="M98" s="181"/>
      <c r="N98" s="181"/>
      <c r="O98" s="181"/>
      <c r="P98" s="181"/>
      <c r="Q98" s="181"/>
      <c r="R98" s="181"/>
      <c r="S98" s="181"/>
      <c r="T98" s="181"/>
      <c r="U98" s="181"/>
      <c r="V98" s="181"/>
      <c r="W98" s="181"/>
      <c r="X98" s="181"/>
      <c r="Y98" s="181"/>
      <c r="Z98" s="181"/>
      <c r="AA98" s="181"/>
      <c r="AB98" s="181"/>
      <c r="AC98" s="181"/>
      <c r="AD98" s="181"/>
      <c r="AE98" s="181"/>
      <c r="AF98" s="181"/>
    </row>
    <row r="99" spans="8:32" x14ac:dyDescent="0.2">
      <c r="H99" s="181"/>
      <c r="I99" s="181"/>
      <c r="J99" s="181"/>
      <c r="K99" s="181"/>
      <c r="L99" s="181"/>
      <c r="M99" s="181"/>
      <c r="N99" s="181"/>
      <c r="O99" s="181"/>
      <c r="P99" s="181"/>
      <c r="Q99" s="181"/>
      <c r="R99" s="181"/>
      <c r="S99" s="181"/>
      <c r="T99" s="181"/>
      <c r="U99" s="181"/>
      <c r="V99" s="181"/>
      <c r="W99" s="181"/>
      <c r="X99" s="181"/>
      <c r="Y99" s="181"/>
      <c r="Z99" s="181"/>
      <c r="AA99" s="181"/>
      <c r="AB99" s="181"/>
      <c r="AC99" s="181"/>
      <c r="AD99" s="181"/>
      <c r="AE99" s="181"/>
      <c r="AF99" s="181"/>
    </row>
    <row r="100" spans="8:32" x14ac:dyDescent="0.2">
      <c r="H100" s="181"/>
      <c r="I100" s="181"/>
      <c r="J100" s="181"/>
      <c r="K100" s="181"/>
      <c r="L100" s="181"/>
      <c r="M100" s="181"/>
      <c r="N100" s="181"/>
      <c r="O100" s="181"/>
      <c r="P100" s="181"/>
      <c r="Q100" s="181"/>
      <c r="R100" s="181"/>
      <c r="S100" s="181"/>
      <c r="T100" s="181"/>
      <c r="U100" s="181"/>
      <c r="V100" s="181"/>
      <c r="W100" s="181"/>
      <c r="X100" s="181"/>
      <c r="Y100" s="181"/>
      <c r="Z100" s="181"/>
      <c r="AA100" s="181"/>
      <c r="AB100" s="181"/>
      <c r="AC100" s="181"/>
      <c r="AD100" s="181"/>
      <c r="AE100" s="181"/>
      <c r="AF100" s="181"/>
    </row>
    <row r="101" spans="8:32" x14ac:dyDescent="0.2">
      <c r="H101" s="181"/>
      <c r="I101" s="181"/>
      <c r="J101" s="181"/>
      <c r="K101" s="181"/>
      <c r="L101" s="181"/>
      <c r="M101" s="181"/>
      <c r="N101" s="181"/>
      <c r="O101" s="181"/>
      <c r="P101" s="181"/>
      <c r="Q101" s="181"/>
      <c r="R101" s="181"/>
      <c r="S101" s="181"/>
      <c r="T101" s="181"/>
      <c r="U101" s="181"/>
      <c r="V101" s="181"/>
      <c r="W101" s="181"/>
      <c r="X101" s="181"/>
      <c r="Y101" s="181"/>
      <c r="Z101" s="181"/>
      <c r="AA101" s="181"/>
      <c r="AB101" s="181"/>
      <c r="AC101" s="181"/>
      <c r="AD101" s="181"/>
      <c r="AE101" s="181"/>
      <c r="AF101" s="181"/>
    </row>
    <row r="102" spans="8:32" x14ac:dyDescent="0.2">
      <c r="H102" s="181"/>
      <c r="I102" s="181"/>
      <c r="J102" s="181"/>
      <c r="K102" s="181"/>
      <c r="L102" s="181"/>
      <c r="M102" s="181"/>
      <c r="N102" s="181"/>
      <c r="O102" s="181"/>
      <c r="P102" s="181"/>
      <c r="Q102" s="181"/>
      <c r="R102" s="181"/>
      <c r="S102" s="181"/>
      <c r="T102" s="181"/>
      <c r="U102" s="181"/>
      <c r="V102" s="181"/>
      <c r="W102" s="181"/>
      <c r="X102" s="181"/>
      <c r="Y102" s="181"/>
      <c r="Z102" s="181"/>
      <c r="AA102" s="181"/>
      <c r="AB102" s="181"/>
      <c r="AC102" s="181"/>
      <c r="AD102" s="181"/>
      <c r="AE102" s="181"/>
      <c r="AF102" s="18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9B8DB-7DF9-4B17-8B83-B66D74A2AED7}">
  <sheetPr codeName="Sheet1"/>
  <dimension ref="C1:I55"/>
  <sheetViews>
    <sheetView workbookViewId="0">
      <selection activeCell="D42" sqref="D42"/>
    </sheetView>
  </sheetViews>
  <sheetFormatPr defaultRowHeight="12.75" x14ac:dyDescent="0.2"/>
  <cols>
    <col min="3" max="3" width="17.140625" customWidth="1"/>
    <col min="4" max="4" width="19.28515625" style="103" customWidth="1"/>
    <col min="5" max="5" width="4" customWidth="1"/>
    <col min="6" max="6" width="18.42578125" style="103" customWidth="1"/>
    <col min="9" max="9" width="18.7109375" customWidth="1"/>
  </cols>
  <sheetData>
    <row r="1" spans="3:9" ht="38.25" x14ac:dyDescent="0.2">
      <c r="C1" s="68" t="s">
        <v>27</v>
      </c>
      <c r="D1" s="101" t="s">
        <v>28</v>
      </c>
      <c r="F1" s="101" t="s">
        <v>80</v>
      </c>
    </row>
    <row r="2" spans="3:9" x14ac:dyDescent="0.2">
      <c r="C2" s="105" t="s">
        <v>82</v>
      </c>
      <c r="D2" s="101"/>
      <c r="F2" s="104">
        <v>14.7</v>
      </c>
      <c r="I2" s="106" t="s">
        <v>83</v>
      </c>
    </row>
    <row r="3" spans="3:9" x14ac:dyDescent="0.2">
      <c r="C3" s="100" t="s">
        <v>29</v>
      </c>
      <c r="D3" s="102">
        <v>30.04</v>
      </c>
      <c r="F3" s="102">
        <v>14.75</v>
      </c>
      <c r="I3" s="99" t="s">
        <v>81</v>
      </c>
    </row>
    <row r="4" spans="3:9" x14ac:dyDescent="0.2">
      <c r="C4" s="100" t="s">
        <v>30</v>
      </c>
      <c r="D4" s="102">
        <v>29.93</v>
      </c>
      <c r="F4" s="102">
        <v>14.64</v>
      </c>
    </row>
    <row r="5" spans="3:9" x14ac:dyDescent="0.2">
      <c r="C5" s="100" t="s">
        <v>31</v>
      </c>
      <c r="D5" s="102">
        <v>29.96</v>
      </c>
      <c r="F5" s="102">
        <v>14.66</v>
      </c>
    </row>
    <row r="6" spans="3:9" x14ac:dyDescent="0.2">
      <c r="C6" s="100" t="s">
        <v>32</v>
      </c>
      <c r="D6" s="102">
        <v>30.03</v>
      </c>
      <c r="F6" s="102">
        <v>14.73</v>
      </c>
    </row>
    <row r="7" spans="3:9" x14ac:dyDescent="0.2">
      <c r="C7" s="100" t="s">
        <v>33</v>
      </c>
      <c r="D7" s="102">
        <v>29.99</v>
      </c>
      <c r="F7" s="102">
        <v>14.68</v>
      </c>
    </row>
    <row r="8" spans="3:9" x14ac:dyDescent="0.2">
      <c r="C8" s="100" t="s">
        <v>34</v>
      </c>
      <c r="D8" s="102">
        <v>29.92</v>
      </c>
      <c r="F8" s="102">
        <v>14.63</v>
      </c>
    </row>
    <row r="9" spans="3:9" x14ac:dyDescent="0.2">
      <c r="C9" s="100" t="s">
        <v>35</v>
      </c>
      <c r="D9" s="102">
        <v>30.08</v>
      </c>
      <c r="F9" s="102">
        <v>14.79</v>
      </c>
    </row>
    <row r="10" spans="3:9" x14ac:dyDescent="0.2">
      <c r="C10" s="100" t="s">
        <v>36</v>
      </c>
      <c r="D10" s="102">
        <v>30.06</v>
      </c>
      <c r="F10" s="102">
        <v>14.76</v>
      </c>
      <c r="H10" s="99"/>
    </row>
    <row r="11" spans="3:9" x14ac:dyDescent="0.2">
      <c r="C11" s="100" t="s">
        <v>37</v>
      </c>
      <c r="D11" s="102">
        <v>30.05</v>
      </c>
      <c r="F11" s="102">
        <v>14.74</v>
      </c>
    </row>
    <row r="12" spans="3:9" x14ac:dyDescent="0.2">
      <c r="C12" s="100" t="s">
        <v>38</v>
      </c>
      <c r="D12" s="102">
        <v>30.04</v>
      </c>
      <c r="F12" s="102">
        <v>14.74</v>
      </c>
    </row>
    <row r="13" spans="3:9" x14ac:dyDescent="0.2">
      <c r="C13" s="100" t="s">
        <v>39</v>
      </c>
      <c r="D13" s="102">
        <v>29.92</v>
      </c>
      <c r="F13" s="102">
        <v>14.63</v>
      </c>
    </row>
    <row r="14" spans="3:9" x14ac:dyDescent="0.2">
      <c r="C14" s="100" t="s">
        <v>40</v>
      </c>
      <c r="D14" s="102">
        <v>29.95</v>
      </c>
      <c r="F14" s="102">
        <v>14.71</v>
      </c>
    </row>
    <row r="15" spans="3:9" x14ac:dyDescent="0.2">
      <c r="C15" s="100" t="s">
        <v>41</v>
      </c>
      <c r="D15" s="102">
        <v>30.02</v>
      </c>
      <c r="F15" s="102">
        <v>14.74</v>
      </c>
    </row>
    <row r="16" spans="3:9" x14ac:dyDescent="0.2">
      <c r="C16" s="100" t="s">
        <v>42</v>
      </c>
      <c r="D16" s="102">
        <v>30.03</v>
      </c>
      <c r="F16" s="102">
        <v>14.74</v>
      </c>
    </row>
    <row r="17" spans="3:6" x14ac:dyDescent="0.2">
      <c r="C17" s="100" t="s">
        <v>43</v>
      </c>
      <c r="D17" s="102">
        <v>30.01</v>
      </c>
      <c r="F17" s="102">
        <v>14.72</v>
      </c>
    </row>
    <row r="18" spans="3:6" x14ac:dyDescent="0.2">
      <c r="C18" s="100" t="s">
        <v>44</v>
      </c>
      <c r="D18" s="102">
        <v>29.99</v>
      </c>
      <c r="F18" s="102">
        <v>14.69</v>
      </c>
    </row>
    <row r="19" spans="3:6" x14ac:dyDescent="0.2">
      <c r="C19" s="100" t="s">
        <v>45</v>
      </c>
      <c r="D19" s="102">
        <v>30.03</v>
      </c>
      <c r="F19" s="102">
        <v>14.74</v>
      </c>
    </row>
    <row r="20" spans="3:6" x14ac:dyDescent="0.2">
      <c r="C20" s="100" t="s">
        <v>46</v>
      </c>
      <c r="D20" s="102">
        <v>30.04</v>
      </c>
      <c r="F20" s="102">
        <v>14.75</v>
      </c>
    </row>
    <row r="21" spans="3:6" x14ac:dyDescent="0.2">
      <c r="C21" s="100" t="s">
        <v>47</v>
      </c>
      <c r="D21" s="102">
        <v>30.09</v>
      </c>
      <c r="F21" s="102">
        <v>14.81</v>
      </c>
    </row>
    <row r="22" spans="3:6" x14ac:dyDescent="0.2">
      <c r="C22" s="100" t="s">
        <v>48</v>
      </c>
      <c r="D22" s="102">
        <v>30.06</v>
      </c>
      <c r="F22" s="102">
        <v>14.76</v>
      </c>
    </row>
    <row r="23" spans="3:6" x14ac:dyDescent="0.2">
      <c r="C23" s="100" t="s">
        <v>49</v>
      </c>
      <c r="D23" s="102">
        <v>30.08</v>
      </c>
      <c r="F23" s="102">
        <v>14.79</v>
      </c>
    </row>
    <row r="24" spans="3:6" x14ac:dyDescent="0.2">
      <c r="C24" s="100" t="s">
        <v>50</v>
      </c>
      <c r="D24" s="102">
        <v>30.02</v>
      </c>
      <c r="F24" s="102">
        <v>14.73</v>
      </c>
    </row>
    <row r="25" spans="3:6" x14ac:dyDescent="0.2">
      <c r="C25" s="100" t="s">
        <v>51</v>
      </c>
      <c r="D25" s="102">
        <v>30</v>
      </c>
      <c r="F25" s="102">
        <v>14.71</v>
      </c>
    </row>
    <row r="26" spans="3:6" x14ac:dyDescent="0.2">
      <c r="C26" s="100" t="s">
        <v>52</v>
      </c>
      <c r="D26" s="102">
        <v>30.04</v>
      </c>
      <c r="F26" s="102">
        <v>14.75</v>
      </c>
    </row>
    <row r="27" spans="3:6" x14ac:dyDescent="0.2">
      <c r="C27" s="100" t="s">
        <v>53</v>
      </c>
      <c r="D27" s="102">
        <v>30.02</v>
      </c>
      <c r="F27" s="102">
        <v>14.73</v>
      </c>
    </row>
    <row r="28" spans="3:6" x14ac:dyDescent="0.2">
      <c r="C28" s="100" t="s">
        <v>54</v>
      </c>
      <c r="D28" s="102">
        <v>29.95</v>
      </c>
      <c r="F28" s="102">
        <v>14.69</v>
      </c>
    </row>
    <row r="29" spans="3:6" x14ac:dyDescent="0.2">
      <c r="C29" s="100" t="s">
        <v>55</v>
      </c>
      <c r="D29" s="102">
        <v>30</v>
      </c>
      <c r="F29" s="102">
        <v>14.71</v>
      </c>
    </row>
    <row r="30" spans="3:6" x14ac:dyDescent="0.2">
      <c r="C30" s="100" t="s">
        <v>56</v>
      </c>
      <c r="D30" s="102">
        <v>29.96</v>
      </c>
      <c r="F30" s="102">
        <v>14.69</v>
      </c>
    </row>
    <row r="31" spans="3:6" x14ac:dyDescent="0.2">
      <c r="C31" s="100" t="s">
        <v>57</v>
      </c>
      <c r="D31" s="102">
        <v>30.08</v>
      </c>
      <c r="F31" s="102">
        <v>14.8</v>
      </c>
    </row>
    <row r="32" spans="3:6" x14ac:dyDescent="0.2">
      <c r="C32" s="100" t="s">
        <v>58</v>
      </c>
      <c r="D32" s="102">
        <v>30.07</v>
      </c>
      <c r="F32" s="102">
        <v>14.77</v>
      </c>
    </row>
    <row r="33" spans="3:6" x14ac:dyDescent="0.2">
      <c r="C33" s="100" t="s">
        <v>59</v>
      </c>
      <c r="D33" s="102">
        <v>29.95</v>
      </c>
      <c r="F33" s="102">
        <v>14.68</v>
      </c>
    </row>
    <row r="34" spans="3:6" x14ac:dyDescent="0.2">
      <c r="C34" s="100" t="s">
        <v>60</v>
      </c>
      <c r="D34" s="102">
        <v>30.07</v>
      </c>
      <c r="F34" s="102">
        <v>14.77</v>
      </c>
    </row>
    <row r="35" spans="3:6" x14ac:dyDescent="0.2">
      <c r="C35" s="100" t="s">
        <v>61</v>
      </c>
      <c r="D35" s="102">
        <v>30.05</v>
      </c>
      <c r="F35" s="102">
        <v>14.75</v>
      </c>
    </row>
    <row r="36" spans="3:6" x14ac:dyDescent="0.2">
      <c r="C36" s="100" t="s">
        <v>62</v>
      </c>
      <c r="D36" s="102">
        <v>29.98</v>
      </c>
      <c r="F36" s="102">
        <v>14.7</v>
      </c>
    </row>
    <row r="37" spans="3:6" x14ac:dyDescent="0.2">
      <c r="C37" s="100" t="s">
        <v>63</v>
      </c>
      <c r="D37" s="102">
        <v>30.03</v>
      </c>
      <c r="F37" s="102">
        <v>14.74</v>
      </c>
    </row>
    <row r="38" spans="3:6" x14ac:dyDescent="0.2">
      <c r="C38" s="100" t="s">
        <v>64</v>
      </c>
      <c r="D38" s="102">
        <v>30.01</v>
      </c>
      <c r="F38" s="102">
        <v>14.71</v>
      </c>
    </row>
    <row r="39" spans="3:6" x14ac:dyDescent="0.2">
      <c r="C39" s="100" t="s">
        <v>65</v>
      </c>
      <c r="D39" s="102">
        <v>29.98</v>
      </c>
      <c r="F39" s="102">
        <v>14.71</v>
      </c>
    </row>
    <row r="40" spans="3:6" x14ac:dyDescent="0.2">
      <c r="C40" s="100" t="s">
        <v>66</v>
      </c>
      <c r="D40" s="102">
        <v>30.05</v>
      </c>
      <c r="F40" s="102">
        <v>14.76</v>
      </c>
    </row>
    <row r="41" spans="3:6" x14ac:dyDescent="0.2">
      <c r="C41" s="100" t="s">
        <v>67</v>
      </c>
      <c r="D41" s="102">
        <v>30.08</v>
      </c>
      <c r="F41" s="102">
        <v>14.8</v>
      </c>
    </row>
    <row r="42" spans="3:6" x14ac:dyDescent="0.2">
      <c r="C42" s="100" t="s">
        <v>68</v>
      </c>
      <c r="D42" s="102">
        <v>30.05</v>
      </c>
      <c r="F42" s="102">
        <v>14.75</v>
      </c>
    </row>
    <row r="43" spans="3:6" x14ac:dyDescent="0.2">
      <c r="C43" s="100" t="s">
        <v>69</v>
      </c>
      <c r="D43" s="102">
        <v>29.99</v>
      </c>
      <c r="F43" s="102">
        <v>14.71</v>
      </c>
    </row>
    <row r="44" spans="3:6" x14ac:dyDescent="0.2">
      <c r="C44" s="100" t="s">
        <v>70</v>
      </c>
      <c r="D44" s="102">
        <v>30.03</v>
      </c>
      <c r="F44" s="102">
        <v>14.74</v>
      </c>
    </row>
    <row r="45" spans="3:6" x14ac:dyDescent="0.2">
      <c r="C45" s="100" t="s">
        <v>71</v>
      </c>
      <c r="D45" s="102">
        <v>30.02</v>
      </c>
      <c r="F45" s="102">
        <v>14.72</v>
      </c>
    </row>
    <row r="46" spans="3:6" x14ac:dyDescent="0.2">
      <c r="C46" s="100" t="s">
        <v>72</v>
      </c>
      <c r="D46" s="102">
        <v>29.95</v>
      </c>
      <c r="F46" s="102">
        <v>14.68</v>
      </c>
    </row>
    <row r="47" spans="3:6" x14ac:dyDescent="0.2">
      <c r="C47" s="100" t="s">
        <v>73</v>
      </c>
      <c r="D47" s="102">
        <v>30.09</v>
      </c>
      <c r="F47" s="102">
        <v>14.81</v>
      </c>
    </row>
    <row r="48" spans="3:6" x14ac:dyDescent="0.2">
      <c r="C48" s="100" t="s">
        <v>74</v>
      </c>
      <c r="D48" s="102">
        <v>30.06</v>
      </c>
      <c r="F48" s="102">
        <v>14.76</v>
      </c>
    </row>
    <row r="49" spans="3:6" x14ac:dyDescent="0.2">
      <c r="C49" s="100" t="s">
        <v>75</v>
      </c>
      <c r="D49" s="102">
        <v>29.99</v>
      </c>
      <c r="F49" s="102">
        <v>14.71</v>
      </c>
    </row>
    <row r="50" spans="3:6" x14ac:dyDescent="0.2">
      <c r="C50" s="100" t="s">
        <v>76</v>
      </c>
      <c r="D50" s="102">
        <v>30.04</v>
      </c>
      <c r="F50" s="102">
        <v>14.75</v>
      </c>
    </row>
    <row r="51" spans="3:6" x14ac:dyDescent="0.2">
      <c r="C51" s="100" t="s">
        <v>77</v>
      </c>
      <c r="D51" s="102">
        <v>30.01</v>
      </c>
      <c r="F51" s="102">
        <v>14.72</v>
      </c>
    </row>
    <row r="52" spans="3:6" x14ac:dyDescent="0.2">
      <c r="C52" s="100" t="s">
        <v>78</v>
      </c>
      <c r="D52" s="102">
        <v>29.95</v>
      </c>
      <c r="F52" s="102">
        <v>14.68</v>
      </c>
    </row>
    <row r="53" spans="3:6" x14ac:dyDescent="0.2">
      <c r="C53" s="99"/>
    </row>
    <row r="54" spans="3:6" x14ac:dyDescent="0.2">
      <c r="C54" s="99" t="s">
        <v>79</v>
      </c>
    </row>
    <row r="55" spans="3:6" x14ac:dyDescent="0.2">
      <c r="C55" s="99"/>
    </row>
  </sheetData>
  <sheetProtection algorithmName="SHA-512" hashValue="dgL0XnCR8ON8/GCZ/XnQLYyFkO9dlGMjFWUAfch+e68jWDkuAHefZbVO82rE8wD5Z39JrVmtkP8g7cg2T+5XMA==" saltValue="WoKtLbqst46yfzGbc39IPw==" spinCount="100000" sheet="1" objects="1" scenarios="1" autoFilter="0" pivotTables="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AA121"/>
  <sheetViews>
    <sheetView zoomScaleNormal="100" zoomScaleSheetLayoutView="100" workbookViewId="0">
      <selection activeCell="H18" sqref="H18"/>
    </sheetView>
  </sheetViews>
  <sheetFormatPr defaultColWidth="9.140625" defaultRowHeight="12.75" x14ac:dyDescent="0.2"/>
  <cols>
    <col min="1" max="1" width="9.7109375" style="50" customWidth="1"/>
    <col min="2" max="2" width="8.28515625" style="50" customWidth="1"/>
    <col min="3" max="5" width="6.7109375" style="50" customWidth="1"/>
    <col min="6" max="6" width="9.28515625" style="45" customWidth="1"/>
    <col min="7" max="7" width="8.7109375" style="46" customWidth="1"/>
    <col min="8" max="16384" width="9.140625" style="1"/>
  </cols>
  <sheetData>
    <row r="1" spans="1:27" ht="16.5" thickBot="1" x14ac:dyDescent="0.25">
      <c r="A1" s="336" t="s">
        <v>2</v>
      </c>
      <c r="B1" s="336"/>
      <c r="C1" s="336"/>
      <c r="D1" s="336"/>
      <c r="E1" s="336"/>
      <c r="F1" s="336"/>
      <c r="G1" s="336"/>
      <c r="H1" s="337" t="s">
        <v>294</v>
      </c>
      <c r="I1" s="337"/>
    </row>
    <row r="2" spans="1:27" s="2" customFormat="1" ht="61.5" x14ac:dyDescent="0.2">
      <c r="A2" s="4" t="s">
        <v>0</v>
      </c>
      <c r="B2" s="4" t="s">
        <v>3</v>
      </c>
      <c r="C2" s="3" t="s">
        <v>4</v>
      </c>
      <c r="D2" s="5"/>
      <c r="E2" s="6"/>
      <c r="F2" s="7" t="s">
        <v>5</v>
      </c>
      <c r="G2" s="8"/>
      <c r="L2" s="219" t="s">
        <v>0</v>
      </c>
      <c r="M2" s="220" t="s">
        <v>198</v>
      </c>
      <c r="N2" s="220" t="s">
        <v>199</v>
      </c>
      <c r="O2" s="220" t="s">
        <v>200</v>
      </c>
      <c r="P2" s="220" t="s">
        <v>201</v>
      </c>
      <c r="Q2" s="220" t="s">
        <v>202</v>
      </c>
      <c r="R2" s="220" t="s">
        <v>203</v>
      </c>
      <c r="S2" s="220" t="s">
        <v>204</v>
      </c>
      <c r="T2" s="220" t="s">
        <v>205</v>
      </c>
      <c r="U2" s="220" t="s">
        <v>206</v>
      </c>
      <c r="V2" s="220" t="s">
        <v>207</v>
      </c>
      <c r="W2" s="220" t="s">
        <v>208</v>
      </c>
      <c r="X2" s="220" t="s">
        <v>209</v>
      </c>
      <c r="Y2" s="220" t="s">
        <v>210</v>
      </c>
      <c r="Z2" s="220" t="s">
        <v>211</v>
      </c>
      <c r="AA2" s="221" t="s">
        <v>212</v>
      </c>
    </row>
    <row r="3" spans="1:27" ht="13.5" thickBot="1" x14ac:dyDescent="0.25">
      <c r="A3" s="11" t="s">
        <v>182</v>
      </c>
      <c r="B3" s="11" t="s">
        <v>1</v>
      </c>
      <c r="C3" s="12" t="s">
        <v>6</v>
      </c>
      <c r="D3" s="13" t="s">
        <v>7</v>
      </c>
      <c r="E3" s="13" t="s">
        <v>8</v>
      </c>
      <c r="F3" s="14" t="s">
        <v>9</v>
      </c>
      <c r="G3" s="15" t="s">
        <v>10</v>
      </c>
      <c r="H3" s="256" t="s">
        <v>182</v>
      </c>
      <c r="I3" s="256" t="s">
        <v>295</v>
      </c>
      <c r="L3" s="222" t="s">
        <v>213</v>
      </c>
      <c r="M3" s="212" t="s">
        <v>183</v>
      </c>
      <c r="N3" s="212" t="s">
        <v>214</v>
      </c>
      <c r="O3" s="212" t="s">
        <v>214</v>
      </c>
      <c r="P3" s="212" t="s">
        <v>214</v>
      </c>
      <c r="Q3" s="212" t="s">
        <v>215</v>
      </c>
      <c r="R3" s="212" t="s">
        <v>216</v>
      </c>
      <c r="S3" s="212" t="s">
        <v>217</v>
      </c>
      <c r="T3" s="212" t="s">
        <v>217</v>
      </c>
      <c r="U3" s="212" t="s">
        <v>217</v>
      </c>
      <c r="V3" s="212" t="s">
        <v>217</v>
      </c>
      <c r="W3" s="212" t="s">
        <v>217</v>
      </c>
      <c r="X3" s="212" t="s">
        <v>218</v>
      </c>
      <c r="Y3" s="212" t="s">
        <v>219</v>
      </c>
      <c r="Z3" s="212"/>
      <c r="AA3" s="211"/>
    </row>
    <row r="4" spans="1:27" x14ac:dyDescent="0.2">
      <c r="A4" s="30">
        <v>0</v>
      </c>
      <c r="B4" s="26">
        <v>212</v>
      </c>
      <c r="C4" s="27">
        <v>180.2</v>
      </c>
      <c r="D4" s="28">
        <v>970.3</v>
      </c>
      <c r="E4" s="28">
        <v>1150.5</v>
      </c>
      <c r="F4" s="22">
        <v>1.6719999999999999E-2</v>
      </c>
      <c r="G4" s="31">
        <v>26.8</v>
      </c>
      <c r="H4" s="255">
        <v>0</v>
      </c>
      <c r="I4" s="255">
        <v>9.391</v>
      </c>
      <c r="L4" s="223">
        <v>0</v>
      </c>
      <c r="M4" s="214">
        <v>211.95400000000001</v>
      </c>
      <c r="N4" s="214">
        <v>179.94200000000001</v>
      </c>
      <c r="O4" s="214">
        <v>970.10799999999995</v>
      </c>
      <c r="P4" s="214">
        <v>1150.05</v>
      </c>
      <c r="Q4" s="214">
        <v>3.7310500000000003E-2</v>
      </c>
      <c r="R4" s="214">
        <v>26.802099999999999</v>
      </c>
      <c r="S4" s="214">
        <v>0.31218400000000002</v>
      </c>
      <c r="T4" s="214">
        <v>1.44442</v>
      </c>
      <c r="U4" s="214">
        <v>1.75661</v>
      </c>
      <c r="V4" s="214">
        <v>0.37158799999999997</v>
      </c>
      <c r="W4" s="214">
        <v>0.496784</v>
      </c>
      <c r="X4" s="214">
        <v>1549.15</v>
      </c>
      <c r="Y4" s="215">
        <v>8.2439499999999992E-6</v>
      </c>
      <c r="Z4" s="214">
        <v>1.31508</v>
      </c>
      <c r="AA4" s="213">
        <v>0.98451500000000003</v>
      </c>
    </row>
    <row r="5" spans="1:27" x14ac:dyDescent="0.2">
      <c r="A5" s="30">
        <v>1</v>
      </c>
      <c r="B5" s="26">
        <v>215.3</v>
      </c>
      <c r="C5" s="27">
        <v>183.5</v>
      </c>
      <c r="D5" s="28">
        <v>968.2</v>
      </c>
      <c r="E5" s="28">
        <v>1151.8</v>
      </c>
      <c r="F5" s="22">
        <v>1.6740000000000001E-2</v>
      </c>
      <c r="G5" s="31">
        <v>25.21</v>
      </c>
      <c r="H5" s="1">
        <v>10</v>
      </c>
      <c r="I5" s="255">
        <v>8.8030000000000008</v>
      </c>
      <c r="L5" s="224">
        <v>1</v>
      </c>
      <c r="M5" s="217">
        <v>215.292</v>
      </c>
      <c r="N5" s="217">
        <v>183.30699999999999</v>
      </c>
      <c r="O5" s="217">
        <v>967.99800000000005</v>
      </c>
      <c r="P5" s="217">
        <v>1151.3</v>
      </c>
      <c r="Q5" s="217">
        <v>3.9679899999999997E-2</v>
      </c>
      <c r="R5" s="217">
        <v>25.201699999999999</v>
      </c>
      <c r="S5" s="217">
        <v>0.31717699999999999</v>
      </c>
      <c r="T5" s="217">
        <v>1.43415</v>
      </c>
      <c r="U5" s="217">
        <v>1.7513300000000001</v>
      </c>
      <c r="V5" s="217">
        <v>0.37276900000000002</v>
      </c>
      <c r="W5" s="217">
        <v>0.49860900000000002</v>
      </c>
      <c r="X5" s="217">
        <v>1552.24</v>
      </c>
      <c r="Y5" s="218">
        <v>8.2865499999999995E-6</v>
      </c>
      <c r="Z5" s="217">
        <v>1.31471</v>
      </c>
      <c r="AA5" s="216">
        <v>0.98382800000000004</v>
      </c>
    </row>
    <row r="6" spans="1:27" x14ac:dyDescent="0.2">
      <c r="A6" s="30">
        <v>2</v>
      </c>
      <c r="B6" s="26">
        <v>218.5</v>
      </c>
      <c r="C6" s="27">
        <v>186.7</v>
      </c>
      <c r="D6" s="28">
        <v>966.2</v>
      </c>
      <c r="E6" s="28">
        <v>1152.9000000000001</v>
      </c>
      <c r="F6" s="22">
        <v>1.6760000000000001E-2</v>
      </c>
      <c r="G6" s="31">
        <v>23.79</v>
      </c>
      <c r="H6" s="1">
        <v>20</v>
      </c>
      <c r="I6" s="255">
        <v>8.2949999999999999</v>
      </c>
      <c r="L6" s="223">
        <v>2</v>
      </c>
      <c r="M6" s="214">
        <v>218.46</v>
      </c>
      <c r="N6" s="214">
        <v>186.501</v>
      </c>
      <c r="O6" s="214">
        <v>965.98599999999999</v>
      </c>
      <c r="P6" s="214">
        <v>1152.49</v>
      </c>
      <c r="Q6" s="214">
        <v>4.2039600000000003E-2</v>
      </c>
      <c r="R6" s="214">
        <v>23.787099999999999</v>
      </c>
      <c r="S6" s="214">
        <v>0.32189299999999998</v>
      </c>
      <c r="T6" s="214">
        <v>1.42449</v>
      </c>
      <c r="U6" s="214">
        <v>1.74638</v>
      </c>
      <c r="V6" s="214">
        <v>0.37392399999999998</v>
      </c>
      <c r="W6" s="214">
        <v>0.50039699999999998</v>
      </c>
      <c r="X6" s="214">
        <v>1555.14</v>
      </c>
      <c r="Y6" s="215">
        <v>8.3270100000000008E-6</v>
      </c>
      <c r="Z6" s="214">
        <v>1.3143499999999999</v>
      </c>
      <c r="AA6" s="213">
        <v>0.983155</v>
      </c>
    </row>
    <row r="7" spans="1:27" x14ac:dyDescent="0.2">
      <c r="A7" s="30">
        <v>3</v>
      </c>
      <c r="B7" s="26">
        <v>221.5</v>
      </c>
      <c r="C7" s="27">
        <v>189.8</v>
      </c>
      <c r="D7" s="28">
        <v>964.3</v>
      </c>
      <c r="E7" s="28">
        <v>1154</v>
      </c>
      <c r="F7" s="22">
        <v>1.6789999999999999E-2</v>
      </c>
      <c r="G7" s="31">
        <v>22.53</v>
      </c>
      <c r="H7" s="1">
        <v>30</v>
      </c>
      <c r="I7" s="255">
        <v>7.8460000000000001</v>
      </c>
      <c r="L7" s="224">
        <v>3</v>
      </c>
      <c r="M7" s="217">
        <v>221.47399999999999</v>
      </c>
      <c r="N7" s="217">
        <v>189.542</v>
      </c>
      <c r="O7" s="217">
        <v>964.06299999999999</v>
      </c>
      <c r="P7" s="217">
        <v>1153.6099999999999</v>
      </c>
      <c r="Q7" s="217">
        <v>4.4390100000000002E-2</v>
      </c>
      <c r="R7" s="217">
        <v>22.5275</v>
      </c>
      <c r="S7" s="217">
        <v>0.32636300000000001</v>
      </c>
      <c r="T7" s="217">
        <v>1.41536</v>
      </c>
      <c r="U7" s="217">
        <v>1.7417199999999999</v>
      </c>
      <c r="V7" s="217">
        <v>0.37505300000000003</v>
      </c>
      <c r="W7" s="217">
        <v>0.50214999999999999</v>
      </c>
      <c r="X7" s="217">
        <v>1557.86</v>
      </c>
      <c r="Y7" s="218">
        <v>8.3655600000000006E-6</v>
      </c>
      <c r="Z7" s="217">
        <v>1.3140099999999999</v>
      </c>
      <c r="AA7" s="216">
        <v>0.98249500000000001</v>
      </c>
    </row>
    <row r="8" spans="1:27" x14ac:dyDescent="0.2">
      <c r="A8" s="30">
        <v>4</v>
      </c>
      <c r="B8" s="26">
        <v>224.4</v>
      </c>
      <c r="C8" s="27">
        <v>192.7</v>
      </c>
      <c r="D8" s="28">
        <v>962.4</v>
      </c>
      <c r="E8" s="28">
        <v>1155</v>
      </c>
      <c r="F8" s="22">
        <v>1.6809999999999999E-2</v>
      </c>
      <c r="G8" s="31">
        <v>21.4</v>
      </c>
      <c r="H8" s="1">
        <v>40</v>
      </c>
      <c r="I8" s="255">
        <v>7.4470000000000001</v>
      </c>
      <c r="L8" s="223">
        <v>4</v>
      </c>
      <c r="M8" s="214">
        <v>224.351</v>
      </c>
      <c r="N8" s="214">
        <v>192.446</v>
      </c>
      <c r="O8" s="214">
        <v>962.21900000000005</v>
      </c>
      <c r="P8" s="214">
        <v>1154.67</v>
      </c>
      <c r="Q8" s="214">
        <v>4.6732200000000002E-2</v>
      </c>
      <c r="R8" s="214">
        <v>21.398499999999999</v>
      </c>
      <c r="S8" s="214">
        <v>0.33061200000000002</v>
      </c>
      <c r="T8" s="214">
        <v>1.4067099999999999</v>
      </c>
      <c r="U8" s="214">
        <v>1.73732</v>
      </c>
      <c r="V8" s="214">
        <v>0.37615900000000002</v>
      </c>
      <c r="W8" s="214">
        <v>0.50387199999999999</v>
      </c>
      <c r="X8" s="214">
        <v>1560.43</v>
      </c>
      <c r="Y8" s="215">
        <v>8.4023900000000004E-6</v>
      </c>
      <c r="Z8" s="214">
        <v>1.3136699999999999</v>
      </c>
      <c r="AA8" s="213">
        <v>0.98184800000000005</v>
      </c>
    </row>
    <row r="9" spans="1:27" x14ac:dyDescent="0.2">
      <c r="A9" s="30">
        <v>5</v>
      </c>
      <c r="B9" s="26">
        <v>227.1</v>
      </c>
      <c r="C9" s="27">
        <v>195.4</v>
      </c>
      <c r="D9" s="28">
        <v>960.6</v>
      </c>
      <c r="E9" s="28">
        <v>1156.0999999999999</v>
      </c>
      <c r="F9" s="22">
        <v>1.6830000000000001E-2</v>
      </c>
      <c r="G9" s="31">
        <v>20.38</v>
      </c>
      <c r="H9" s="1">
        <v>50</v>
      </c>
      <c r="I9" s="255">
        <v>7.0890000000000004</v>
      </c>
      <c r="L9" s="224">
        <v>5</v>
      </c>
      <c r="M9" s="217">
        <v>227.10300000000001</v>
      </c>
      <c r="N9" s="217">
        <v>195.226</v>
      </c>
      <c r="O9" s="217">
        <v>960.44799999999998</v>
      </c>
      <c r="P9" s="217">
        <v>1155.67</v>
      </c>
      <c r="Q9" s="217">
        <v>4.9066199999999997E-2</v>
      </c>
      <c r="R9" s="217">
        <v>20.380600000000001</v>
      </c>
      <c r="S9" s="217">
        <v>0.33466400000000002</v>
      </c>
      <c r="T9" s="217">
        <v>1.39849</v>
      </c>
      <c r="U9" s="217">
        <v>1.73316</v>
      </c>
      <c r="V9" s="217">
        <v>0.37724400000000002</v>
      </c>
      <c r="W9" s="217">
        <v>0.50556400000000001</v>
      </c>
      <c r="X9" s="217">
        <v>1562.87</v>
      </c>
      <c r="Y9" s="218">
        <v>8.4376599999999994E-6</v>
      </c>
      <c r="Z9" s="217">
        <v>1.31334</v>
      </c>
      <c r="AA9" s="216">
        <v>0.98121199999999997</v>
      </c>
    </row>
    <row r="10" spans="1:27" x14ac:dyDescent="0.2">
      <c r="A10" s="30">
        <v>6</v>
      </c>
      <c r="B10" s="26">
        <v>229.8</v>
      </c>
      <c r="C10" s="27">
        <v>198.1</v>
      </c>
      <c r="D10" s="28">
        <v>958.9</v>
      </c>
      <c r="E10" s="28">
        <v>1157</v>
      </c>
      <c r="F10" s="22">
        <v>1.685E-2</v>
      </c>
      <c r="G10" s="31">
        <v>19.46</v>
      </c>
      <c r="H10" s="1">
        <v>58</v>
      </c>
      <c r="I10" s="255">
        <v>6.8630000000000004</v>
      </c>
      <c r="L10" s="223">
        <v>6</v>
      </c>
      <c r="M10" s="214">
        <v>229.74299999999999</v>
      </c>
      <c r="N10" s="214">
        <v>197.893</v>
      </c>
      <c r="O10" s="214">
        <v>958.74199999999996</v>
      </c>
      <c r="P10" s="214">
        <v>1156.6400000000001</v>
      </c>
      <c r="Q10" s="214">
        <v>5.1392699999999999E-2</v>
      </c>
      <c r="R10" s="214">
        <v>19.457999999999998</v>
      </c>
      <c r="S10" s="214">
        <v>0.338536</v>
      </c>
      <c r="T10" s="214">
        <v>1.39066</v>
      </c>
      <c r="U10" s="214">
        <v>1.7292000000000001</v>
      </c>
      <c r="V10" s="214">
        <v>0.37830999999999998</v>
      </c>
      <c r="W10" s="214">
        <v>0.50723099999999999</v>
      </c>
      <c r="X10" s="214">
        <v>1565.18</v>
      </c>
      <c r="Y10" s="215">
        <v>8.4715000000000001E-6</v>
      </c>
      <c r="Z10" s="214">
        <v>1.3130200000000001</v>
      </c>
      <c r="AA10" s="213">
        <v>0.98058599999999996</v>
      </c>
    </row>
    <row r="11" spans="1:27" x14ac:dyDescent="0.2">
      <c r="A11" s="30">
        <v>7</v>
      </c>
      <c r="B11" s="26">
        <v>232.3</v>
      </c>
      <c r="C11" s="27">
        <v>200.7</v>
      </c>
      <c r="D11" s="28">
        <v>957.2</v>
      </c>
      <c r="E11" s="28">
        <v>1157.9000000000001</v>
      </c>
      <c r="F11" s="22">
        <v>1.687E-2</v>
      </c>
      <c r="G11" s="31">
        <v>18.62</v>
      </c>
      <c r="H11" s="1">
        <v>60</v>
      </c>
      <c r="I11" s="255">
        <v>6.8019999999999996</v>
      </c>
      <c r="L11" s="224">
        <v>7</v>
      </c>
      <c r="M11" s="217">
        <v>232.28</v>
      </c>
      <c r="N11" s="217">
        <v>200.458</v>
      </c>
      <c r="O11" s="217">
        <v>957.09500000000003</v>
      </c>
      <c r="P11" s="217">
        <v>1157.55</v>
      </c>
      <c r="Q11" s="217">
        <v>5.3712099999999999E-2</v>
      </c>
      <c r="R11" s="217">
        <v>18.617799999999999</v>
      </c>
      <c r="S11" s="217">
        <v>0.34224500000000002</v>
      </c>
      <c r="T11" s="217">
        <v>1.3831800000000001</v>
      </c>
      <c r="U11" s="217">
        <v>1.72543</v>
      </c>
      <c r="V11" s="217">
        <v>0.379357</v>
      </c>
      <c r="W11" s="217">
        <v>0.50887199999999999</v>
      </c>
      <c r="X11" s="217">
        <v>1567.38</v>
      </c>
      <c r="Y11" s="218">
        <v>8.5040500000000003E-6</v>
      </c>
      <c r="Z11" s="217">
        <v>1.31271</v>
      </c>
      <c r="AA11" s="216">
        <v>0.97997100000000004</v>
      </c>
    </row>
    <row r="12" spans="1:27" x14ac:dyDescent="0.2">
      <c r="A12" s="30">
        <v>8</v>
      </c>
      <c r="B12" s="26">
        <v>234.8</v>
      </c>
      <c r="C12" s="27">
        <v>203.1</v>
      </c>
      <c r="D12" s="28">
        <v>955.6</v>
      </c>
      <c r="E12" s="28">
        <v>1158.7</v>
      </c>
      <c r="F12" s="22">
        <v>1.6889999999999999E-2</v>
      </c>
      <c r="G12" s="31">
        <v>17.850000000000001</v>
      </c>
      <c r="H12" s="1">
        <v>70</v>
      </c>
      <c r="I12" s="255">
        <v>6.5529999999999999</v>
      </c>
      <c r="L12" s="223">
        <v>8</v>
      </c>
      <c r="M12" s="214">
        <v>234.72300000000001</v>
      </c>
      <c r="N12" s="214">
        <v>202.929</v>
      </c>
      <c r="O12" s="214">
        <v>955.50400000000002</v>
      </c>
      <c r="P12" s="214">
        <v>1158.43</v>
      </c>
      <c r="Q12" s="214">
        <v>5.6024699999999997E-2</v>
      </c>
      <c r="R12" s="214">
        <v>17.849299999999999</v>
      </c>
      <c r="S12" s="214">
        <v>0.34580499999999997</v>
      </c>
      <c r="T12" s="214">
        <v>1.3760300000000001</v>
      </c>
      <c r="U12" s="214">
        <v>1.72183</v>
      </c>
      <c r="V12" s="214">
        <v>0.38038699999999998</v>
      </c>
      <c r="W12" s="214">
        <v>0.51049</v>
      </c>
      <c r="X12" s="214">
        <v>1569.47</v>
      </c>
      <c r="Y12" s="215">
        <v>8.5354100000000003E-6</v>
      </c>
      <c r="Z12" s="214">
        <v>1.3124100000000001</v>
      </c>
      <c r="AA12" s="213">
        <v>0.97936500000000004</v>
      </c>
    </row>
    <row r="13" spans="1:27" ht="13.5" thickBot="1" x14ac:dyDescent="0.25">
      <c r="A13" s="32">
        <v>9</v>
      </c>
      <c r="B13" s="33">
        <v>237.1</v>
      </c>
      <c r="C13" s="34">
        <v>205.5</v>
      </c>
      <c r="D13" s="35">
        <v>954.1</v>
      </c>
      <c r="E13" s="35">
        <v>1159.5999999999999</v>
      </c>
      <c r="F13" s="36">
        <v>1.6899999999999998E-2</v>
      </c>
      <c r="G13" s="37">
        <v>17.14</v>
      </c>
      <c r="H13" s="1">
        <v>80</v>
      </c>
      <c r="I13" s="255">
        <v>6.3230000000000004</v>
      </c>
      <c r="L13" s="224">
        <v>9</v>
      </c>
      <c r="M13" s="217">
        <v>237.07900000000001</v>
      </c>
      <c r="N13" s="217">
        <v>205.31299999999999</v>
      </c>
      <c r="O13" s="217">
        <v>953.96299999999997</v>
      </c>
      <c r="P13" s="217">
        <v>1159.28</v>
      </c>
      <c r="Q13" s="217">
        <v>5.8331000000000001E-2</v>
      </c>
      <c r="R13" s="217">
        <v>17.1435</v>
      </c>
      <c r="S13" s="217">
        <v>0.34922799999999998</v>
      </c>
      <c r="T13" s="217">
        <v>1.3691599999999999</v>
      </c>
      <c r="U13" s="217">
        <v>1.7183900000000001</v>
      </c>
      <c r="V13" s="217">
        <v>0.38140099999999999</v>
      </c>
      <c r="W13" s="217">
        <v>0.51208600000000004</v>
      </c>
      <c r="X13" s="217">
        <v>1571.47</v>
      </c>
      <c r="Y13" s="218">
        <v>8.5656699999999996E-6</v>
      </c>
      <c r="Z13" s="217">
        <v>1.3121100000000001</v>
      </c>
      <c r="AA13" s="216">
        <v>0.97876799999999997</v>
      </c>
    </row>
    <row r="14" spans="1:27" x14ac:dyDescent="0.2">
      <c r="A14" s="30">
        <v>10</v>
      </c>
      <c r="B14" s="26">
        <v>239.4</v>
      </c>
      <c r="C14" s="27">
        <v>207.8</v>
      </c>
      <c r="D14" s="28">
        <v>952.6</v>
      </c>
      <c r="E14" s="28">
        <v>1160.4000000000001</v>
      </c>
      <c r="F14" s="22">
        <v>1.6920000000000001E-2</v>
      </c>
      <c r="G14" s="31">
        <v>16.489999999999998</v>
      </c>
      <c r="H14" s="1">
        <v>90</v>
      </c>
      <c r="I14" s="255">
        <v>6.11</v>
      </c>
      <c r="L14" s="223">
        <v>10</v>
      </c>
      <c r="M14" s="214">
        <v>239.35499999999999</v>
      </c>
      <c r="N14" s="214">
        <v>207.61699999999999</v>
      </c>
      <c r="O14" s="214">
        <v>952.46799999999996</v>
      </c>
      <c r="P14" s="214">
        <v>1160.0899999999999</v>
      </c>
      <c r="Q14" s="214">
        <v>6.0631200000000003E-2</v>
      </c>
      <c r="R14" s="214">
        <v>16.493099999999998</v>
      </c>
      <c r="S14" s="214">
        <v>0.35252499999999998</v>
      </c>
      <c r="T14" s="214">
        <v>1.3625700000000001</v>
      </c>
      <c r="U14" s="214">
        <v>1.71509</v>
      </c>
      <c r="V14" s="214">
        <v>0.38240000000000002</v>
      </c>
      <c r="W14" s="214">
        <v>0.51366100000000003</v>
      </c>
      <c r="X14" s="214">
        <v>1573.39</v>
      </c>
      <c r="Y14" s="215">
        <v>8.5949199999999994E-6</v>
      </c>
      <c r="Z14" s="214">
        <v>1.31182</v>
      </c>
      <c r="AA14" s="213">
        <v>0.97818000000000005</v>
      </c>
    </row>
    <row r="15" spans="1:27" x14ac:dyDescent="0.2">
      <c r="A15" s="30">
        <v>12</v>
      </c>
      <c r="B15" s="26">
        <v>243.7</v>
      </c>
      <c r="C15" s="27">
        <v>212.2</v>
      </c>
      <c r="D15" s="28">
        <v>949.6</v>
      </c>
      <c r="E15" s="28">
        <v>1161.9000000000001</v>
      </c>
      <c r="F15" s="22">
        <v>1.6959999999999999E-2</v>
      </c>
      <c r="G15" s="31">
        <v>15.33</v>
      </c>
      <c r="H15" s="1">
        <v>100</v>
      </c>
      <c r="I15" s="255">
        <v>5.9109999999999996</v>
      </c>
      <c r="L15" s="224">
        <v>11</v>
      </c>
      <c r="M15" s="217">
        <v>241.55600000000001</v>
      </c>
      <c r="N15" s="217">
        <v>209.84700000000001</v>
      </c>
      <c r="O15" s="217">
        <v>951.01700000000005</v>
      </c>
      <c r="P15" s="217">
        <v>1160.8599999999999</v>
      </c>
      <c r="Q15" s="217">
        <v>6.2925599999999998E-2</v>
      </c>
      <c r="R15" s="217">
        <v>15.8918</v>
      </c>
      <c r="S15" s="217">
        <v>0.35570499999999999</v>
      </c>
      <c r="T15" s="217">
        <v>1.35622</v>
      </c>
      <c r="U15" s="217">
        <v>1.71193</v>
      </c>
      <c r="V15" s="217">
        <v>0.38338499999999998</v>
      </c>
      <c r="W15" s="217">
        <v>0.51521700000000004</v>
      </c>
      <c r="X15" s="217">
        <v>1575.22</v>
      </c>
      <c r="Y15" s="218">
        <v>8.6232200000000004E-6</v>
      </c>
      <c r="Z15" s="217">
        <v>1.3115300000000001</v>
      </c>
      <c r="AA15" s="216">
        <v>0.977599</v>
      </c>
    </row>
    <row r="16" spans="1:27" x14ac:dyDescent="0.2">
      <c r="A16" s="30">
        <v>14</v>
      </c>
      <c r="B16" s="26">
        <v>247.8</v>
      </c>
      <c r="C16" s="27">
        <v>216.4</v>
      </c>
      <c r="D16" s="28">
        <v>946.9</v>
      </c>
      <c r="E16" s="28">
        <v>1163.3</v>
      </c>
      <c r="F16" s="22">
        <v>1.6990000000000002E-2</v>
      </c>
      <c r="G16" s="31">
        <v>14.33</v>
      </c>
      <c r="H16" s="1">
        <v>150</v>
      </c>
      <c r="I16" s="255">
        <v>5.085</v>
      </c>
      <c r="L16" s="223">
        <v>12</v>
      </c>
      <c r="M16" s="214">
        <v>243.68799999999999</v>
      </c>
      <c r="N16" s="214">
        <v>212.00800000000001</v>
      </c>
      <c r="O16" s="214">
        <v>949.60699999999997</v>
      </c>
      <c r="P16" s="214">
        <v>1161.6099999999999</v>
      </c>
      <c r="Q16" s="214">
        <v>6.5214499999999995E-2</v>
      </c>
      <c r="R16" s="214">
        <v>15.334</v>
      </c>
      <c r="S16" s="214">
        <v>0.35877799999999999</v>
      </c>
      <c r="T16" s="214">
        <v>1.3501000000000001</v>
      </c>
      <c r="U16" s="214">
        <v>1.70888</v>
      </c>
      <c r="V16" s="214">
        <v>0.38435599999999998</v>
      </c>
      <c r="W16" s="214">
        <v>0.51675499999999996</v>
      </c>
      <c r="X16" s="214">
        <v>1576.98</v>
      </c>
      <c r="Y16" s="215">
        <v>8.6506399999999992E-6</v>
      </c>
      <c r="Z16" s="214">
        <v>1.31125</v>
      </c>
      <c r="AA16" s="213">
        <v>0.97702599999999995</v>
      </c>
    </row>
    <row r="17" spans="1:27" x14ac:dyDescent="0.2">
      <c r="A17" s="30">
        <v>16</v>
      </c>
      <c r="B17" s="26">
        <v>251.7</v>
      </c>
      <c r="C17" s="27">
        <v>220.2</v>
      </c>
      <c r="D17" s="28">
        <v>944.3</v>
      </c>
      <c r="E17" s="28">
        <v>1164.5</v>
      </c>
      <c r="F17" s="22">
        <v>1.702E-2</v>
      </c>
      <c r="G17" s="31">
        <v>13.45</v>
      </c>
      <c r="H17" s="1">
        <v>200</v>
      </c>
      <c r="I17" s="255">
        <v>4.4320000000000004</v>
      </c>
      <c r="L17" s="224">
        <v>13</v>
      </c>
      <c r="M17" s="217">
        <v>245.756</v>
      </c>
      <c r="N17" s="217">
        <v>214.10400000000001</v>
      </c>
      <c r="O17" s="217">
        <v>948.23400000000004</v>
      </c>
      <c r="P17" s="217">
        <v>1162.3399999999999</v>
      </c>
      <c r="Q17" s="217">
        <v>6.7498199999999994E-2</v>
      </c>
      <c r="R17" s="217">
        <v>14.815200000000001</v>
      </c>
      <c r="S17" s="217">
        <v>0.36175000000000002</v>
      </c>
      <c r="T17" s="217">
        <v>1.3442000000000001</v>
      </c>
      <c r="U17" s="217">
        <v>1.7059500000000001</v>
      </c>
      <c r="V17" s="217">
        <v>0.38531500000000002</v>
      </c>
      <c r="W17" s="217">
        <v>0.51827599999999996</v>
      </c>
      <c r="X17" s="217">
        <v>1578.67</v>
      </c>
      <c r="Y17" s="218">
        <v>8.67724E-6</v>
      </c>
      <c r="Z17" s="217">
        <v>1.31098</v>
      </c>
      <c r="AA17" s="216">
        <v>0.97645999999999999</v>
      </c>
    </row>
    <row r="18" spans="1:27" ht="13.5" thickBot="1" x14ac:dyDescent="0.25">
      <c r="A18" s="32">
        <v>18</v>
      </c>
      <c r="B18" s="33">
        <v>255.3</v>
      </c>
      <c r="C18" s="34">
        <v>224</v>
      </c>
      <c r="D18" s="35">
        <v>941.9</v>
      </c>
      <c r="E18" s="35">
        <v>1165.8</v>
      </c>
      <c r="F18" s="36">
        <v>1.7049999999999999E-2</v>
      </c>
      <c r="G18" s="37">
        <v>12.68</v>
      </c>
      <c r="H18" s="1">
        <v>250</v>
      </c>
      <c r="I18" s="255">
        <v>3.9079999999999999</v>
      </c>
      <c r="L18" s="223">
        <v>14</v>
      </c>
      <c r="M18" s="214">
        <v>247.76400000000001</v>
      </c>
      <c r="N18" s="214">
        <v>216.14099999999999</v>
      </c>
      <c r="O18" s="214">
        <v>946.89599999999996</v>
      </c>
      <c r="P18" s="214">
        <v>1163.04</v>
      </c>
      <c r="Q18" s="214">
        <v>6.97768E-2</v>
      </c>
      <c r="R18" s="214">
        <v>14.3314</v>
      </c>
      <c r="S18" s="214">
        <v>0.36462800000000001</v>
      </c>
      <c r="T18" s="214">
        <v>1.33849</v>
      </c>
      <c r="U18" s="214">
        <v>1.70312</v>
      </c>
      <c r="V18" s="214">
        <v>0.38626100000000002</v>
      </c>
      <c r="W18" s="214">
        <v>0.51978000000000002</v>
      </c>
      <c r="X18" s="214">
        <v>1580.3</v>
      </c>
      <c r="Y18" s="215">
        <v>8.70308E-6</v>
      </c>
      <c r="Z18" s="214">
        <v>1.31071</v>
      </c>
      <c r="AA18" s="213">
        <v>0.97590100000000002</v>
      </c>
    </row>
    <row r="19" spans="1:27" x14ac:dyDescent="0.2">
      <c r="A19" s="30">
        <v>20</v>
      </c>
      <c r="B19" s="26">
        <v>258.8</v>
      </c>
      <c r="C19" s="27">
        <v>227.5</v>
      </c>
      <c r="D19" s="28">
        <v>939.5</v>
      </c>
      <c r="E19" s="28">
        <v>1167</v>
      </c>
      <c r="F19" s="22">
        <v>1.7080000000000001E-2</v>
      </c>
      <c r="G19" s="31">
        <v>11.99</v>
      </c>
      <c r="H19" s="1">
        <v>300</v>
      </c>
      <c r="I19" s="255">
        <v>3.4910000000000001</v>
      </c>
      <c r="L19" s="224">
        <v>15</v>
      </c>
      <c r="M19" s="217">
        <v>249.71600000000001</v>
      </c>
      <c r="N19" s="217">
        <v>218.12100000000001</v>
      </c>
      <c r="O19" s="217">
        <v>945.59100000000001</v>
      </c>
      <c r="P19" s="217">
        <v>1163.71</v>
      </c>
      <c r="Q19" s="217">
        <v>7.2050500000000003E-2</v>
      </c>
      <c r="R19" s="217">
        <v>13.879099999999999</v>
      </c>
      <c r="S19" s="217">
        <v>0.367419</v>
      </c>
      <c r="T19" s="217">
        <v>1.33297</v>
      </c>
      <c r="U19" s="217">
        <v>1.7003900000000001</v>
      </c>
      <c r="V19" s="217">
        <v>0.38719500000000001</v>
      </c>
      <c r="W19" s="217">
        <v>0.52126799999999995</v>
      </c>
      <c r="X19" s="217">
        <v>1581.86</v>
      </c>
      <c r="Y19" s="218">
        <v>8.7282000000000006E-6</v>
      </c>
      <c r="Z19" s="217">
        <v>1.3104499999999999</v>
      </c>
      <c r="AA19" s="216">
        <v>0.97534799999999999</v>
      </c>
    </row>
    <row r="20" spans="1:27" x14ac:dyDescent="0.2">
      <c r="A20" s="30">
        <v>22</v>
      </c>
      <c r="B20" s="26">
        <v>262.10000000000002</v>
      </c>
      <c r="C20" s="27">
        <v>230.9</v>
      </c>
      <c r="D20" s="28">
        <v>937.2</v>
      </c>
      <c r="E20" s="28">
        <v>1168.0999999999999</v>
      </c>
      <c r="F20" s="22">
        <v>1.711E-2</v>
      </c>
      <c r="G20" s="31">
        <v>11.38</v>
      </c>
      <c r="H20" s="1">
        <v>400</v>
      </c>
      <c r="I20" s="255">
        <v>2.86</v>
      </c>
      <c r="L20" s="223">
        <v>16</v>
      </c>
      <c r="M20" s="214">
        <v>251.614</v>
      </c>
      <c r="N20" s="214">
        <v>220.04900000000001</v>
      </c>
      <c r="O20" s="214">
        <v>944.31799999999998</v>
      </c>
      <c r="P20" s="214">
        <v>1164.3699999999999</v>
      </c>
      <c r="Q20" s="214">
        <v>7.4319700000000002E-2</v>
      </c>
      <c r="R20" s="214">
        <v>13.455399999999999</v>
      </c>
      <c r="S20" s="214">
        <v>0.37012800000000001</v>
      </c>
      <c r="T20" s="214">
        <v>1.32762</v>
      </c>
      <c r="U20" s="214">
        <v>1.6977500000000001</v>
      </c>
      <c r="V20" s="214">
        <v>0.38811899999999999</v>
      </c>
      <c r="W20" s="214">
        <v>0.52274100000000001</v>
      </c>
      <c r="X20" s="214">
        <v>1583.37</v>
      </c>
      <c r="Y20" s="215">
        <v>8.75265E-6</v>
      </c>
      <c r="Z20" s="214">
        <v>1.31019</v>
      </c>
      <c r="AA20" s="213">
        <v>0.97480100000000003</v>
      </c>
    </row>
    <row r="21" spans="1:27" x14ac:dyDescent="0.2">
      <c r="A21" s="30">
        <v>24</v>
      </c>
      <c r="B21" s="26">
        <v>265.3</v>
      </c>
      <c r="C21" s="27">
        <v>234.1</v>
      </c>
      <c r="D21" s="28">
        <v>935</v>
      </c>
      <c r="E21" s="28">
        <v>1169.2</v>
      </c>
      <c r="F21" s="22">
        <v>1.7129999999999999E-2</v>
      </c>
      <c r="G21" s="31">
        <v>10.83</v>
      </c>
      <c r="H21" s="1">
        <v>500</v>
      </c>
      <c r="I21" s="255">
        <v>2.4049999999999998</v>
      </c>
      <c r="L21" s="224">
        <v>17</v>
      </c>
      <c r="M21" s="217">
        <v>253.46299999999999</v>
      </c>
      <c r="N21" s="217">
        <v>221.92599999999999</v>
      </c>
      <c r="O21" s="217">
        <v>943.07299999999998</v>
      </c>
      <c r="P21" s="217">
        <v>1165</v>
      </c>
      <c r="Q21" s="217">
        <v>7.6584299999999994E-2</v>
      </c>
      <c r="R21" s="217">
        <v>13.057499999999999</v>
      </c>
      <c r="S21" s="217">
        <v>0.37275999999999998</v>
      </c>
      <c r="T21" s="217">
        <v>1.3224400000000001</v>
      </c>
      <c r="U21" s="217">
        <v>1.6952</v>
      </c>
      <c r="V21" s="217">
        <v>0.38903199999999999</v>
      </c>
      <c r="W21" s="217">
        <v>0.5242</v>
      </c>
      <c r="X21" s="217">
        <v>1584.83</v>
      </c>
      <c r="Y21" s="218">
        <v>8.7764600000000003E-6</v>
      </c>
      <c r="Z21" s="217">
        <v>1.30993</v>
      </c>
      <c r="AA21" s="216">
        <v>0.97426100000000004</v>
      </c>
    </row>
    <row r="22" spans="1:27" x14ac:dyDescent="0.2">
      <c r="A22" s="30">
        <v>25</v>
      </c>
      <c r="B22" s="26">
        <v>266.8</v>
      </c>
      <c r="C22" s="27">
        <v>235.7</v>
      </c>
      <c r="D22" s="28">
        <v>933.9</v>
      </c>
      <c r="E22" s="28">
        <v>1169.5999999999999</v>
      </c>
      <c r="F22" s="22">
        <v>1.7149999999999999E-2</v>
      </c>
      <c r="G22" s="31">
        <v>10.57</v>
      </c>
      <c r="H22" s="1">
        <v>600</v>
      </c>
      <c r="I22" s="255">
        <v>2.0590000000000002</v>
      </c>
      <c r="L22" s="223">
        <v>18</v>
      </c>
      <c r="M22" s="214">
        <v>255.26499999999999</v>
      </c>
      <c r="N22" s="214">
        <v>223.75700000000001</v>
      </c>
      <c r="O22" s="214">
        <v>941.85699999999997</v>
      </c>
      <c r="P22" s="214">
        <v>1165.6099999999999</v>
      </c>
      <c r="Q22" s="214">
        <v>7.8844800000000007E-2</v>
      </c>
      <c r="R22" s="214">
        <v>12.683199999999999</v>
      </c>
      <c r="S22" s="214">
        <v>0.37531900000000001</v>
      </c>
      <c r="T22" s="214">
        <v>1.3173999999999999</v>
      </c>
      <c r="U22" s="214">
        <v>1.69272</v>
      </c>
      <c r="V22" s="214">
        <v>0.389934</v>
      </c>
      <c r="W22" s="214">
        <v>0.52564500000000003</v>
      </c>
      <c r="X22" s="214">
        <v>1586.24</v>
      </c>
      <c r="Y22" s="215">
        <v>8.7996699999999994E-6</v>
      </c>
      <c r="Z22" s="214">
        <v>1.30968</v>
      </c>
      <c r="AA22" s="213">
        <v>0.97372599999999998</v>
      </c>
    </row>
    <row r="23" spans="1:27" ht="13.5" thickBot="1" x14ac:dyDescent="0.25">
      <c r="A23" s="30">
        <v>26</v>
      </c>
      <c r="B23" s="26">
        <v>268.3</v>
      </c>
      <c r="C23" s="27">
        <v>237.2</v>
      </c>
      <c r="D23" s="28">
        <v>932.9</v>
      </c>
      <c r="E23" s="28">
        <v>1170.0999999999999</v>
      </c>
      <c r="F23" s="22">
        <v>1.7160000000000002E-2</v>
      </c>
      <c r="G23" s="31">
        <v>10.33</v>
      </c>
      <c r="L23" s="225">
        <v>19</v>
      </c>
      <c r="M23" s="226">
        <v>257.02199999999999</v>
      </c>
      <c r="N23" s="226">
        <v>225.54400000000001</v>
      </c>
      <c r="O23" s="226">
        <v>940.66600000000005</v>
      </c>
      <c r="P23" s="226">
        <v>1166.21</v>
      </c>
      <c r="Q23" s="226">
        <v>8.1101099999999995E-2</v>
      </c>
      <c r="R23" s="226">
        <v>12.330299999999999</v>
      </c>
      <c r="S23" s="226">
        <v>0.37781100000000001</v>
      </c>
      <c r="T23" s="226">
        <v>1.3125100000000001</v>
      </c>
      <c r="U23" s="226">
        <v>1.69032</v>
      </c>
      <c r="V23" s="226">
        <v>0.39082699999999998</v>
      </c>
      <c r="W23" s="226">
        <v>0.52707599999999999</v>
      </c>
      <c r="X23" s="226">
        <v>1587.6</v>
      </c>
      <c r="Y23" s="227">
        <v>8.8223099999999992E-6</v>
      </c>
      <c r="Z23" s="226">
        <v>1.3094300000000001</v>
      </c>
      <c r="AA23" s="228">
        <v>0.97319699999999998</v>
      </c>
    </row>
    <row r="24" spans="1:27" ht="13.5" thickBot="1" x14ac:dyDescent="0.25">
      <c r="A24" s="32">
        <v>28</v>
      </c>
      <c r="B24" s="33">
        <v>271.2</v>
      </c>
      <c r="C24" s="34">
        <v>240.2</v>
      </c>
      <c r="D24" s="35">
        <v>930.8</v>
      </c>
      <c r="E24" s="35">
        <v>1171</v>
      </c>
      <c r="F24" s="36">
        <v>1.719E-2</v>
      </c>
      <c r="G24" s="40">
        <v>9.8740000000000006</v>
      </c>
      <c r="L24" s="229">
        <v>20</v>
      </c>
      <c r="M24" s="230">
        <v>258.73700000000002</v>
      </c>
      <c r="N24" s="230">
        <v>227.28800000000001</v>
      </c>
      <c r="O24" s="230">
        <v>939.5</v>
      </c>
      <c r="P24" s="230">
        <v>1166.79</v>
      </c>
      <c r="Q24" s="230">
        <v>8.3353399999999994E-2</v>
      </c>
      <c r="R24" s="230">
        <v>11.9971</v>
      </c>
      <c r="S24" s="230">
        <v>0.38023800000000002</v>
      </c>
      <c r="T24" s="230">
        <v>1.30775</v>
      </c>
      <c r="U24" s="230">
        <v>1.6879900000000001</v>
      </c>
      <c r="V24" s="230">
        <v>0.39171</v>
      </c>
      <c r="W24" s="230">
        <v>0.52849500000000005</v>
      </c>
      <c r="X24" s="230">
        <v>1588.92</v>
      </c>
      <c r="Y24" s="231">
        <v>8.8444100000000002E-6</v>
      </c>
      <c r="Z24" s="230">
        <v>1.3091900000000001</v>
      </c>
      <c r="AA24" s="232">
        <v>0.97267199999999998</v>
      </c>
    </row>
    <row r="25" spans="1:27" x14ac:dyDescent="0.2">
      <c r="A25" s="30">
        <v>30</v>
      </c>
      <c r="B25" s="26">
        <v>274</v>
      </c>
      <c r="C25" s="27">
        <v>243.1</v>
      </c>
      <c r="D25" s="28">
        <v>928.9</v>
      </c>
      <c r="E25" s="28">
        <v>1172</v>
      </c>
      <c r="F25" s="22">
        <v>1.721E-2</v>
      </c>
      <c r="G25" s="41">
        <v>9.4589999999999996</v>
      </c>
      <c r="L25" s="224">
        <v>21</v>
      </c>
      <c r="M25" s="217">
        <v>260.41300000000001</v>
      </c>
      <c r="N25" s="217">
        <v>228.99299999999999</v>
      </c>
      <c r="O25" s="217">
        <v>938.35699999999997</v>
      </c>
      <c r="P25" s="217">
        <v>1167.3499999999999</v>
      </c>
      <c r="Q25" s="217">
        <v>8.5601899999999995E-2</v>
      </c>
      <c r="R25" s="217">
        <v>11.682</v>
      </c>
      <c r="S25" s="217">
        <v>0.382604</v>
      </c>
      <c r="T25" s="217">
        <v>1.3031200000000001</v>
      </c>
      <c r="U25" s="217">
        <v>1.68573</v>
      </c>
      <c r="V25" s="217">
        <v>0.39258399999999999</v>
      </c>
      <c r="W25" s="217">
        <v>0.52990199999999998</v>
      </c>
      <c r="X25" s="217">
        <v>1590.2</v>
      </c>
      <c r="Y25" s="218">
        <v>8.8659999999999995E-6</v>
      </c>
      <c r="Z25" s="217">
        <v>1.3089500000000001</v>
      </c>
      <c r="AA25" s="216">
        <v>0.97215300000000004</v>
      </c>
    </row>
    <row r="26" spans="1:27" x14ac:dyDescent="0.2">
      <c r="A26" s="30">
        <v>32</v>
      </c>
      <c r="B26" s="26">
        <v>276.7</v>
      </c>
      <c r="C26" s="27">
        <v>245.8</v>
      </c>
      <c r="D26" s="28">
        <v>926.9</v>
      </c>
      <c r="E26" s="28">
        <v>1172.7</v>
      </c>
      <c r="F26" s="22">
        <v>1.7229999999999999E-2</v>
      </c>
      <c r="G26" s="41">
        <v>9.0779999999999994</v>
      </c>
      <c r="L26" s="223">
        <v>22</v>
      </c>
      <c r="M26" s="214">
        <v>262.05099999999999</v>
      </c>
      <c r="N26" s="214">
        <v>230.66</v>
      </c>
      <c r="O26" s="214">
        <v>937.23699999999997</v>
      </c>
      <c r="P26" s="214">
        <v>1167.9000000000001</v>
      </c>
      <c r="Q26" s="214">
        <v>8.7846800000000003E-2</v>
      </c>
      <c r="R26" s="214">
        <v>11.3835</v>
      </c>
      <c r="S26" s="214">
        <v>0.38491199999999998</v>
      </c>
      <c r="T26" s="214">
        <v>1.29861</v>
      </c>
      <c r="U26" s="214">
        <v>1.68353</v>
      </c>
      <c r="V26" s="214">
        <v>0.39344899999999999</v>
      </c>
      <c r="W26" s="214">
        <v>0.53129700000000002</v>
      </c>
      <c r="X26" s="214">
        <v>1591.44</v>
      </c>
      <c r="Y26" s="215">
        <v>8.8871100000000007E-6</v>
      </c>
      <c r="Z26" s="214">
        <v>1.30871</v>
      </c>
      <c r="AA26" s="213">
        <v>0.97163900000000003</v>
      </c>
    </row>
    <row r="27" spans="1:27" x14ac:dyDescent="0.2">
      <c r="A27" s="30">
        <v>34</v>
      </c>
      <c r="B27" s="26">
        <v>279.39999999999998</v>
      </c>
      <c r="C27" s="27">
        <v>248.5</v>
      </c>
      <c r="D27" s="28">
        <v>925.1</v>
      </c>
      <c r="E27" s="28">
        <v>1173.5999999999999</v>
      </c>
      <c r="F27" s="22">
        <v>1.7260000000000001E-2</v>
      </c>
      <c r="G27" s="41">
        <v>8.7279999999999998</v>
      </c>
      <c r="L27" s="224">
        <v>23</v>
      </c>
      <c r="M27" s="217">
        <v>263.65300000000002</v>
      </c>
      <c r="N27" s="217">
        <v>232.292</v>
      </c>
      <c r="O27" s="217">
        <v>936.13800000000003</v>
      </c>
      <c r="P27" s="217">
        <v>1168.43</v>
      </c>
      <c r="Q27" s="217">
        <v>9.0088100000000004E-2</v>
      </c>
      <c r="R27" s="217">
        <v>11.100300000000001</v>
      </c>
      <c r="S27" s="217">
        <v>0.38716499999999998</v>
      </c>
      <c r="T27" s="217">
        <v>1.2942199999999999</v>
      </c>
      <c r="U27" s="217">
        <v>1.6813800000000001</v>
      </c>
      <c r="V27" s="217">
        <v>0.39430599999999999</v>
      </c>
      <c r="W27" s="217">
        <v>0.53268099999999996</v>
      </c>
      <c r="X27" s="217">
        <v>1592.64</v>
      </c>
      <c r="Y27" s="218">
        <v>8.9077600000000002E-6</v>
      </c>
      <c r="Z27" s="217">
        <v>1.3084800000000001</v>
      </c>
      <c r="AA27" s="216">
        <v>0.97112900000000002</v>
      </c>
    </row>
    <row r="28" spans="1:27" x14ac:dyDescent="0.2">
      <c r="A28" s="30">
        <v>35</v>
      </c>
      <c r="B28" s="26">
        <v>280.60000000000002</v>
      </c>
      <c r="C28" s="27">
        <v>249.8</v>
      </c>
      <c r="D28" s="28">
        <v>924.2</v>
      </c>
      <c r="E28" s="28">
        <v>1174</v>
      </c>
      <c r="F28" s="22">
        <v>1.7270000000000001E-2</v>
      </c>
      <c r="G28" s="41">
        <v>8.5630000000000006</v>
      </c>
      <c r="L28" s="223">
        <v>24</v>
      </c>
      <c r="M28" s="214">
        <v>265.221</v>
      </c>
      <c r="N28" s="214">
        <v>233.88900000000001</v>
      </c>
      <c r="O28" s="214">
        <v>935.05899999999997</v>
      </c>
      <c r="P28" s="214">
        <v>1168.95</v>
      </c>
      <c r="Q28" s="214">
        <v>9.2325900000000002E-2</v>
      </c>
      <c r="R28" s="214">
        <v>10.831200000000001</v>
      </c>
      <c r="S28" s="214">
        <v>0.38936700000000002</v>
      </c>
      <c r="T28" s="214">
        <v>1.28993</v>
      </c>
      <c r="U28" s="214">
        <v>1.6793</v>
      </c>
      <c r="V28" s="214">
        <v>0.39515400000000001</v>
      </c>
      <c r="W28" s="214">
        <v>0.534053</v>
      </c>
      <c r="X28" s="214">
        <v>1593.8</v>
      </c>
      <c r="Y28" s="215">
        <v>8.9279800000000002E-6</v>
      </c>
      <c r="Z28" s="214">
        <v>1.3082499999999999</v>
      </c>
      <c r="AA28" s="213">
        <v>0.97062400000000004</v>
      </c>
    </row>
    <row r="29" spans="1:27" x14ac:dyDescent="0.2">
      <c r="A29" s="30">
        <v>36</v>
      </c>
      <c r="B29" s="26">
        <v>281.89999999999998</v>
      </c>
      <c r="C29" s="27">
        <v>251.1</v>
      </c>
      <c r="D29" s="28">
        <v>923.3</v>
      </c>
      <c r="E29" s="28">
        <v>1174.4000000000001</v>
      </c>
      <c r="F29" s="22">
        <v>1.728E-2</v>
      </c>
      <c r="G29" s="41">
        <v>8.4039999999999999</v>
      </c>
      <c r="L29" s="224">
        <v>25</v>
      </c>
      <c r="M29" s="217">
        <v>266.75599999999997</v>
      </c>
      <c r="N29" s="217">
        <v>235.45400000000001</v>
      </c>
      <c r="O29" s="217">
        <v>933.99900000000002</v>
      </c>
      <c r="P29" s="217">
        <v>1169.45</v>
      </c>
      <c r="Q29" s="217">
        <v>9.4560400000000003E-2</v>
      </c>
      <c r="R29" s="217">
        <v>10.575200000000001</v>
      </c>
      <c r="S29" s="217">
        <v>0.39151900000000001</v>
      </c>
      <c r="T29" s="217">
        <v>1.2857499999999999</v>
      </c>
      <c r="U29" s="217">
        <v>1.67726</v>
      </c>
      <c r="V29" s="217">
        <v>0.39599400000000001</v>
      </c>
      <c r="W29" s="217">
        <v>0.53541499999999997</v>
      </c>
      <c r="X29" s="217">
        <v>1594.94</v>
      </c>
      <c r="Y29" s="218">
        <v>8.9477700000000006E-6</v>
      </c>
      <c r="Z29" s="217">
        <v>1.30802</v>
      </c>
      <c r="AA29" s="216">
        <v>0.97012399999999999</v>
      </c>
    </row>
    <row r="30" spans="1:27" ht="13.5" thickBot="1" x14ac:dyDescent="0.25">
      <c r="A30" s="32">
        <v>38</v>
      </c>
      <c r="B30" s="33">
        <v>284.3</v>
      </c>
      <c r="C30" s="34">
        <v>253.6</v>
      </c>
      <c r="D30" s="35">
        <v>921.5</v>
      </c>
      <c r="E30" s="35">
        <v>1175.0999999999999</v>
      </c>
      <c r="F30" s="36">
        <v>1.7299999999999999E-2</v>
      </c>
      <c r="G30" s="40">
        <v>8.1039999999999992</v>
      </c>
      <c r="L30" s="223">
        <v>26</v>
      </c>
      <c r="M30" s="214">
        <v>268.26100000000002</v>
      </c>
      <c r="N30" s="214">
        <v>236.98699999999999</v>
      </c>
      <c r="O30" s="214">
        <v>932.95799999999997</v>
      </c>
      <c r="P30" s="214">
        <v>1169.95</v>
      </c>
      <c r="Q30" s="214">
        <v>9.6791699999999994E-2</v>
      </c>
      <c r="R30" s="214">
        <v>10.3315</v>
      </c>
      <c r="S30" s="214">
        <v>0.39362399999999997</v>
      </c>
      <c r="T30" s="214">
        <v>1.28166</v>
      </c>
      <c r="U30" s="214">
        <v>1.6752800000000001</v>
      </c>
      <c r="V30" s="214">
        <v>0.39682699999999999</v>
      </c>
      <c r="W30" s="214">
        <v>0.53676699999999999</v>
      </c>
      <c r="X30" s="214">
        <v>1596.04</v>
      </c>
      <c r="Y30" s="215">
        <v>8.96716E-6</v>
      </c>
      <c r="Z30" s="214">
        <v>1.3078000000000001</v>
      </c>
      <c r="AA30" s="213">
        <v>0.96962700000000002</v>
      </c>
    </row>
    <row r="31" spans="1:27" x14ac:dyDescent="0.2">
      <c r="A31" s="30">
        <v>40</v>
      </c>
      <c r="B31" s="26">
        <v>286.7</v>
      </c>
      <c r="C31" s="27">
        <v>256</v>
      </c>
      <c r="D31" s="28">
        <v>919.8</v>
      </c>
      <c r="E31" s="28">
        <v>1175.8</v>
      </c>
      <c r="F31" s="22">
        <v>1.7330000000000002E-2</v>
      </c>
      <c r="G31" s="41">
        <v>7.8259999999999996</v>
      </c>
      <c r="L31" s="224">
        <v>27</v>
      </c>
      <c r="M31" s="217">
        <v>269.73500000000001</v>
      </c>
      <c r="N31" s="217">
        <v>238.49100000000001</v>
      </c>
      <c r="O31" s="217">
        <v>931.93399999999997</v>
      </c>
      <c r="P31" s="217">
        <v>1170.43</v>
      </c>
      <c r="Q31" s="217">
        <v>9.9019899999999994E-2</v>
      </c>
      <c r="R31" s="217">
        <v>10.099</v>
      </c>
      <c r="S31" s="217">
        <v>0.39568300000000001</v>
      </c>
      <c r="T31" s="217">
        <v>1.27766</v>
      </c>
      <c r="U31" s="217">
        <v>1.6733499999999999</v>
      </c>
      <c r="V31" s="217">
        <v>0.39765200000000001</v>
      </c>
      <c r="W31" s="217">
        <v>0.53810899999999995</v>
      </c>
      <c r="X31" s="217">
        <v>1597.11</v>
      </c>
      <c r="Y31" s="218">
        <v>8.9861700000000001E-6</v>
      </c>
      <c r="Z31" s="217">
        <v>1.30758</v>
      </c>
      <c r="AA31" s="216">
        <v>0.96913499999999997</v>
      </c>
    </row>
    <row r="32" spans="1:27" x14ac:dyDescent="0.2">
      <c r="A32" s="30">
        <v>42</v>
      </c>
      <c r="B32" s="26">
        <v>289</v>
      </c>
      <c r="C32" s="27">
        <v>258.39999999999998</v>
      </c>
      <c r="D32" s="28">
        <v>918.1</v>
      </c>
      <c r="E32" s="28">
        <v>1176.5</v>
      </c>
      <c r="F32" s="22">
        <v>1.7350000000000001E-2</v>
      </c>
      <c r="G32" s="41">
        <v>7.5659999999999998</v>
      </c>
      <c r="L32" s="223">
        <v>28</v>
      </c>
      <c r="M32" s="214">
        <v>271.18099999999998</v>
      </c>
      <c r="N32" s="214">
        <v>239.96700000000001</v>
      </c>
      <c r="O32" s="214">
        <v>930.928</v>
      </c>
      <c r="P32" s="214">
        <v>1170.8900000000001</v>
      </c>
      <c r="Q32" s="214">
        <v>0.101245</v>
      </c>
      <c r="R32" s="214">
        <v>9.8770199999999999</v>
      </c>
      <c r="S32" s="214">
        <v>0.3977</v>
      </c>
      <c r="T32" s="214">
        <v>1.27376</v>
      </c>
      <c r="U32" s="214">
        <v>1.6714599999999999</v>
      </c>
      <c r="V32" s="214">
        <v>0.39846999999999999</v>
      </c>
      <c r="W32" s="214">
        <v>0.53944000000000003</v>
      </c>
      <c r="X32" s="214">
        <v>1598.15</v>
      </c>
      <c r="Y32" s="215">
        <v>9.0048200000000003E-6</v>
      </c>
      <c r="Z32" s="214">
        <v>1.3073600000000001</v>
      </c>
      <c r="AA32" s="213">
        <v>0.96864700000000004</v>
      </c>
    </row>
    <row r="33" spans="1:27" x14ac:dyDescent="0.2">
      <c r="A33" s="30">
        <v>44</v>
      </c>
      <c r="B33" s="26">
        <v>291.3</v>
      </c>
      <c r="C33" s="27">
        <v>260.7</v>
      </c>
      <c r="D33" s="28">
        <v>916.4</v>
      </c>
      <c r="E33" s="28">
        <v>1177.2</v>
      </c>
      <c r="F33" s="22">
        <v>1.737E-2</v>
      </c>
      <c r="G33" s="41">
        <v>7.3230000000000004</v>
      </c>
      <c r="L33" s="224">
        <v>29</v>
      </c>
      <c r="M33" s="217">
        <v>272.60000000000002</v>
      </c>
      <c r="N33" s="217">
        <v>241.416</v>
      </c>
      <c r="O33" s="217">
        <v>929.93700000000001</v>
      </c>
      <c r="P33" s="217">
        <v>1171.3499999999999</v>
      </c>
      <c r="Q33" s="217">
        <v>0.103467</v>
      </c>
      <c r="R33" s="217">
        <v>9.6648800000000001</v>
      </c>
      <c r="S33" s="217">
        <v>0.39967599999999998</v>
      </c>
      <c r="T33" s="217">
        <v>1.2699400000000001</v>
      </c>
      <c r="U33" s="217">
        <v>1.66961</v>
      </c>
      <c r="V33" s="217">
        <v>0.399281</v>
      </c>
      <c r="W33" s="217">
        <v>0.54076299999999999</v>
      </c>
      <c r="X33" s="217">
        <v>1599.16</v>
      </c>
      <c r="Y33" s="218">
        <v>9.0231199999999998E-6</v>
      </c>
      <c r="Z33" s="217">
        <v>1.30715</v>
      </c>
      <c r="AA33" s="216">
        <v>0.96816199999999997</v>
      </c>
    </row>
    <row r="34" spans="1:27" x14ac:dyDescent="0.2">
      <c r="A34" s="30">
        <v>45</v>
      </c>
      <c r="B34" s="26">
        <v>292.39999999999998</v>
      </c>
      <c r="C34" s="27">
        <v>261.89999999999998</v>
      </c>
      <c r="D34" s="28">
        <v>915.6</v>
      </c>
      <c r="E34" s="28">
        <v>1177.5</v>
      </c>
      <c r="F34" s="22">
        <v>1.738E-2</v>
      </c>
      <c r="G34" s="41">
        <v>7.2080000000000002</v>
      </c>
      <c r="L34" s="223">
        <v>30</v>
      </c>
      <c r="M34" s="214">
        <v>273.99299999999999</v>
      </c>
      <c r="N34" s="214">
        <v>242.83799999999999</v>
      </c>
      <c r="O34" s="214">
        <v>928.96199999999999</v>
      </c>
      <c r="P34" s="214">
        <v>1171.8</v>
      </c>
      <c r="Q34" s="214">
        <v>0.105687</v>
      </c>
      <c r="R34" s="214">
        <v>9.4619199999999992</v>
      </c>
      <c r="S34" s="214">
        <v>0.40161200000000002</v>
      </c>
      <c r="T34" s="214">
        <v>1.2662</v>
      </c>
      <c r="U34" s="214">
        <v>1.66781</v>
      </c>
      <c r="V34" s="214">
        <v>0.40008500000000002</v>
      </c>
      <c r="W34" s="214">
        <v>0.542076</v>
      </c>
      <c r="X34" s="214">
        <v>1600.15</v>
      </c>
      <c r="Y34" s="215">
        <v>9.0410799999999992E-6</v>
      </c>
      <c r="Z34" s="214">
        <v>1.30694</v>
      </c>
      <c r="AA34" s="213">
        <v>0.96768100000000001</v>
      </c>
    </row>
    <row r="35" spans="1:27" x14ac:dyDescent="0.2">
      <c r="A35" s="30">
        <v>46</v>
      </c>
      <c r="B35" s="26">
        <v>293.5</v>
      </c>
      <c r="C35" s="27">
        <v>263</v>
      </c>
      <c r="D35" s="28">
        <v>914.8</v>
      </c>
      <c r="E35" s="28">
        <v>1177.8</v>
      </c>
      <c r="F35" s="22">
        <v>1.7389999999999999E-2</v>
      </c>
      <c r="G35" s="41">
        <v>7.0960000000000001</v>
      </c>
      <c r="L35" s="224">
        <v>31</v>
      </c>
      <c r="M35" s="217">
        <v>275.36099999999999</v>
      </c>
      <c r="N35" s="217">
        <v>244.23599999999999</v>
      </c>
      <c r="O35" s="217">
        <v>928.00099999999998</v>
      </c>
      <c r="P35" s="217">
        <v>1172.24</v>
      </c>
      <c r="Q35" s="217">
        <v>0.107904</v>
      </c>
      <c r="R35" s="217">
        <v>9.2675400000000003</v>
      </c>
      <c r="S35" s="217">
        <v>0.40351100000000001</v>
      </c>
      <c r="T35" s="217">
        <v>1.2625299999999999</v>
      </c>
      <c r="U35" s="217">
        <v>1.66604</v>
      </c>
      <c r="V35" s="217">
        <v>0.40088200000000002</v>
      </c>
      <c r="W35" s="217">
        <v>0.543381</v>
      </c>
      <c r="X35" s="217">
        <v>1601.11</v>
      </c>
      <c r="Y35" s="218">
        <v>9.0587199999999999E-6</v>
      </c>
      <c r="Z35" s="217">
        <v>1.3067299999999999</v>
      </c>
      <c r="AA35" s="216">
        <v>0.96720399999999995</v>
      </c>
    </row>
    <row r="36" spans="1:27" ht="13.5" thickBot="1" x14ac:dyDescent="0.25">
      <c r="A36" s="32">
        <v>48</v>
      </c>
      <c r="B36" s="33">
        <v>295.60000000000002</v>
      </c>
      <c r="C36" s="34">
        <v>265.2</v>
      </c>
      <c r="D36" s="35">
        <v>913.2</v>
      </c>
      <c r="E36" s="35">
        <v>1178.4000000000001</v>
      </c>
      <c r="F36" s="36">
        <v>1.7409999999999998E-2</v>
      </c>
      <c r="G36" s="40">
        <v>6.883</v>
      </c>
      <c r="L36" s="223">
        <v>32</v>
      </c>
      <c r="M36" s="214">
        <v>276.70499999999998</v>
      </c>
      <c r="N36" s="214">
        <v>245.60900000000001</v>
      </c>
      <c r="O36" s="214">
        <v>927.05499999999995</v>
      </c>
      <c r="P36" s="214">
        <v>1172.6600000000001</v>
      </c>
      <c r="Q36" s="214">
        <v>0.11011799999999999</v>
      </c>
      <c r="R36" s="214">
        <v>9.0812100000000004</v>
      </c>
      <c r="S36" s="214">
        <v>0.40537400000000001</v>
      </c>
      <c r="T36" s="214">
        <v>1.2589399999999999</v>
      </c>
      <c r="U36" s="214">
        <v>1.66432</v>
      </c>
      <c r="V36" s="214">
        <v>0.40167199999999997</v>
      </c>
      <c r="W36" s="214">
        <v>0.54467699999999997</v>
      </c>
      <c r="X36" s="214">
        <v>1602.05</v>
      </c>
      <c r="Y36" s="215">
        <v>9.0760499999999993E-6</v>
      </c>
      <c r="Z36" s="214">
        <v>1.3065199999999999</v>
      </c>
      <c r="AA36" s="213">
        <v>0.96673100000000001</v>
      </c>
    </row>
    <row r="37" spans="1:27" x14ac:dyDescent="0.2">
      <c r="A37" s="30">
        <v>50</v>
      </c>
      <c r="B37" s="26">
        <v>297.7</v>
      </c>
      <c r="C37" s="27">
        <v>267.3</v>
      </c>
      <c r="D37" s="28">
        <v>911.7</v>
      </c>
      <c r="E37" s="28">
        <v>1179</v>
      </c>
      <c r="F37" s="22">
        <v>1.7430000000000001E-2</v>
      </c>
      <c r="G37" s="41">
        <v>6.6829999999999998</v>
      </c>
      <c r="L37" s="224">
        <v>33</v>
      </c>
      <c r="M37" s="217">
        <v>278.02600000000001</v>
      </c>
      <c r="N37" s="217">
        <v>246.96</v>
      </c>
      <c r="O37" s="217">
        <v>926.12300000000005</v>
      </c>
      <c r="P37" s="217">
        <v>1173.08</v>
      </c>
      <c r="Q37" s="217">
        <v>0.112329</v>
      </c>
      <c r="R37" s="217">
        <v>8.9024199999999993</v>
      </c>
      <c r="S37" s="217">
        <v>0.40720200000000001</v>
      </c>
      <c r="T37" s="217">
        <v>1.25543</v>
      </c>
      <c r="U37" s="217">
        <v>1.6626300000000001</v>
      </c>
      <c r="V37" s="217">
        <v>0.40245599999999998</v>
      </c>
      <c r="W37" s="217">
        <v>0.545964</v>
      </c>
      <c r="X37" s="217">
        <v>1602.96</v>
      </c>
      <c r="Y37" s="218">
        <v>9.0930799999999997E-6</v>
      </c>
      <c r="Z37" s="217">
        <v>1.3063199999999999</v>
      </c>
      <c r="AA37" s="216">
        <v>0.96626000000000001</v>
      </c>
    </row>
    <row r="38" spans="1:27" ht="13.5" thickBot="1" x14ac:dyDescent="0.25">
      <c r="A38" s="32">
        <v>55</v>
      </c>
      <c r="B38" s="33">
        <v>302.60000000000002</v>
      </c>
      <c r="C38" s="34">
        <v>272.39999999999998</v>
      </c>
      <c r="D38" s="35">
        <v>908</v>
      </c>
      <c r="E38" s="35">
        <v>1180.4000000000001</v>
      </c>
      <c r="F38" s="36">
        <v>1.7479999999999999E-2</v>
      </c>
      <c r="G38" s="40">
        <v>6.23</v>
      </c>
      <c r="L38" s="223">
        <v>34</v>
      </c>
      <c r="M38" s="214">
        <v>279.32499999999999</v>
      </c>
      <c r="N38" s="214">
        <v>248.28800000000001</v>
      </c>
      <c r="O38" s="214">
        <v>925.20399999999995</v>
      </c>
      <c r="P38" s="214">
        <v>1173.49</v>
      </c>
      <c r="Q38" s="214">
        <v>0.114538</v>
      </c>
      <c r="R38" s="214">
        <v>8.7307400000000008</v>
      </c>
      <c r="S38" s="214">
        <v>0.40899600000000003</v>
      </c>
      <c r="T38" s="214">
        <v>1.2519800000000001</v>
      </c>
      <c r="U38" s="214">
        <v>1.6609700000000001</v>
      </c>
      <c r="V38" s="214">
        <v>0.40323399999999998</v>
      </c>
      <c r="W38" s="214">
        <v>0.54724300000000003</v>
      </c>
      <c r="X38" s="214">
        <v>1603.85</v>
      </c>
      <c r="Y38" s="215">
        <v>9.1098300000000008E-6</v>
      </c>
      <c r="Z38" s="214">
        <v>1.3061199999999999</v>
      </c>
      <c r="AA38" s="213">
        <v>0.96579400000000004</v>
      </c>
    </row>
    <row r="39" spans="1:27" x14ac:dyDescent="0.2">
      <c r="A39" s="30">
        <v>60</v>
      </c>
      <c r="B39" s="26">
        <v>307.3</v>
      </c>
      <c r="C39" s="27">
        <v>277.3</v>
      </c>
      <c r="D39" s="28">
        <v>904.5</v>
      </c>
      <c r="E39" s="28">
        <v>1181.8</v>
      </c>
      <c r="F39" s="22">
        <v>1.753E-2</v>
      </c>
      <c r="G39" s="41">
        <v>5.8369999999999997</v>
      </c>
      <c r="L39" s="224">
        <v>35</v>
      </c>
      <c r="M39" s="217">
        <v>280.60199999999998</v>
      </c>
      <c r="N39" s="217">
        <v>249.595</v>
      </c>
      <c r="O39" s="217">
        <v>924.29700000000003</v>
      </c>
      <c r="P39" s="217">
        <v>1173.8900000000001</v>
      </c>
      <c r="Q39" s="217">
        <v>0.116744</v>
      </c>
      <c r="R39" s="217">
        <v>8.5657300000000003</v>
      </c>
      <c r="S39" s="217">
        <v>0.41075899999999999</v>
      </c>
      <c r="T39" s="217">
        <v>1.2485900000000001</v>
      </c>
      <c r="U39" s="217">
        <v>1.6593500000000001</v>
      </c>
      <c r="V39" s="217">
        <v>0.40400599999999998</v>
      </c>
      <c r="W39" s="217">
        <v>0.54851399999999995</v>
      </c>
      <c r="X39" s="217">
        <v>1604.73</v>
      </c>
      <c r="Y39" s="218">
        <v>9.1262999999999993E-6</v>
      </c>
      <c r="Z39" s="217">
        <v>1.30592</v>
      </c>
      <c r="AA39" s="216">
        <v>0.96533000000000002</v>
      </c>
    </row>
    <row r="40" spans="1:27" ht="13.5" thickBot="1" x14ac:dyDescent="0.25">
      <c r="A40" s="32">
        <v>65</v>
      </c>
      <c r="B40" s="33">
        <v>311.8</v>
      </c>
      <c r="C40" s="34">
        <v>281.89999999999998</v>
      </c>
      <c r="D40" s="35">
        <v>901.1</v>
      </c>
      <c r="E40" s="35">
        <v>1183</v>
      </c>
      <c r="F40" s="36">
        <v>1.7569999999999999E-2</v>
      </c>
      <c r="G40" s="40">
        <v>5.4909999999999997</v>
      </c>
      <c r="L40" s="223">
        <v>36</v>
      </c>
      <c r="M40" s="214">
        <v>281.85899999999998</v>
      </c>
      <c r="N40" s="214">
        <v>250.881</v>
      </c>
      <c r="O40" s="214">
        <v>923.40300000000002</v>
      </c>
      <c r="P40" s="214">
        <v>1174.28</v>
      </c>
      <c r="Q40" s="214">
        <v>0.118948</v>
      </c>
      <c r="R40" s="214">
        <v>8.4070099999999996</v>
      </c>
      <c r="S40" s="214">
        <v>0.412491</v>
      </c>
      <c r="T40" s="214">
        <v>1.2452700000000001</v>
      </c>
      <c r="U40" s="214">
        <v>1.6577599999999999</v>
      </c>
      <c r="V40" s="214">
        <v>0.40477200000000002</v>
      </c>
      <c r="W40" s="214">
        <v>0.54977699999999996</v>
      </c>
      <c r="X40" s="214">
        <v>1605.58</v>
      </c>
      <c r="Y40" s="215">
        <v>9.14251E-6</v>
      </c>
      <c r="Z40" s="214">
        <v>1.30572</v>
      </c>
      <c r="AA40" s="213">
        <v>0.96486899999999998</v>
      </c>
    </row>
    <row r="41" spans="1:27" x14ac:dyDescent="0.2">
      <c r="A41" s="30">
        <v>70</v>
      </c>
      <c r="B41" s="26">
        <v>316</v>
      </c>
      <c r="C41" s="27">
        <v>286.3</v>
      </c>
      <c r="D41" s="28">
        <v>897.9</v>
      </c>
      <c r="E41" s="28">
        <v>1184.0999999999999</v>
      </c>
      <c r="F41" s="22">
        <v>1.7610000000000001E-2</v>
      </c>
      <c r="G41" s="41">
        <v>5.1840000000000002</v>
      </c>
      <c r="L41" s="224">
        <v>37</v>
      </c>
      <c r="M41" s="217">
        <v>283.096</v>
      </c>
      <c r="N41" s="217">
        <v>252.148</v>
      </c>
      <c r="O41" s="217">
        <v>922.52099999999996</v>
      </c>
      <c r="P41" s="217">
        <v>1174.67</v>
      </c>
      <c r="Q41" s="217">
        <v>0.12114999999999999</v>
      </c>
      <c r="R41" s="217">
        <v>8.2542200000000001</v>
      </c>
      <c r="S41" s="217">
        <v>0.41419400000000001</v>
      </c>
      <c r="T41" s="217">
        <v>1.2420100000000001</v>
      </c>
      <c r="U41" s="217">
        <v>1.6561999999999999</v>
      </c>
      <c r="V41" s="217">
        <v>0.405532</v>
      </c>
      <c r="W41" s="217">
        <v>0.551033</v>
      </c>
      <c r="X41" s="217">
        <v>1606.41</v>
      </c>
      <c r="Y41" s="218">
        <v>9.1584599999999994E-6</v>
      </c>
      <c r="Z41" s="217">
        <v>1.3055300000000001</v>
      </c>
      <c r="AA41" s="216">
        <v>0.96441200000000005</v>
      </c>
    </row>
    <row r="42" spans="1:27" ht="13.5" thickBot="1" x14ac:dyDescent="0.25">
      <c r="A42" s="32">
        <v>75</v>
      </c>
      <c r="B42" s="33">
        <v>320</v>
      </c>
      <c r="C42" s="34">
        <v>290.5</v>
      </c>
      <c r="D42" s="35">
        <v>894.8</v>
      </c>
      <c r="E42" s="35">
        <v>1185.2</v>
      </c>
      <c r="F42" s="36">
        <v>1.7659999999999999E-2</v>
      </c>
      <c r="G42" s="40">
        <v>4.9109999999999996</v>
      </c>
      <c r="L42" s="223">
        <v>38</v>
      </c>
      <c r="M42" s="214">
        <v>284.31400000000002</v>
      </c>
      <c r="N42" s="214">
        <v>253.39500000000001</v>
      </c>
      <c r="O42" s="214">
        <v>921.65</v>
      </c>
      <c r="P42" s="214">
        <v>1175.05</v>
      </c>
      <c r="Q42" s="214">
        <v>0.12335</v>
      </c>
      <c r="R42" s="214">
        <v>8.1070399999999996</v>
      </c>
      <c r="S42" s="214">
        <v>0.41586699999999999</v>
      </c>
      <c r="T42" s="214">
        <v>1.2387999999999999</v>
      </c>
      <c r="U42" s="214">
        <v>1.6546700000000001</v>
      </c>
      <c r="V42" s="214">
        <v>0.40628599999999998</v>
      </c>
      <c r="W42" s="214">
        <v>0.55228100000000002</v>
      </c>
      <c r="X42" s="214">
        <v>1607.22</v>
      </c>
      <c r="Y42" s="215">
        <v>9.1741599999999999E-6</v>
      </c>
      <c r="Z42" s="214">
        <v>1.3053300000000001</v>
      </c>
      <c r="AA42" s="213">
        <v>0.96395699999999995</v>
      </c>
    </row>
    <row r="43" spans="1:27" ht="13.5" thickBot="1" x14ac:dyDescent="0.25">
      <c r="A43" s="30">
        <v>80</v>
      </c>
      <c r="B43" s="26">
        <v>323.89999999999998</v>
      </c>
      <c r="C43" s="27">
        <v>294.5</v>
      </c>
      <c r="D43" s="28">
        <v>891.7</v>
      </c>
      <c r="E43" s="28">
        <v>1186.0999999999999</v>
      </c>
      <c r="F43" s="22">
        <v>1.77E-2</v>
      </c>
      <c r="G43" s="41">
        <v>4.665</v>
      </c>
      <c r="L43" s="225">
        <v>39</v>
      </c>
      <c r="M43" s="226">
        <v>285.51299999999998</v>
      </c>
      <c r="N43" s="226">
        <v>254.624</v>
      </c>
      <c r="O43" s="226">
        <v>920.79100000000005</v>
      </c>
      <c r="P43" s="226">
        <v>1175.42</v>
      </c>
      <c r="Q43" s="226">
        <v>0.12554699999999999</v>
      </c>
      <c r="R43" s="226">
        <v>7.9651500000000004</v>
      </c>
      <c r="S43" s="226">
        <v>0.417514</v>
      </c>
      <c r="T43" s="226">
        <v>1.23566</v>
      </c>
      <c r="U43" s="226">
        <v>1.65317</v>
      </c>
      <c r="V43" s="226">
        <v>0.40703400000000001</v>
      </c>
      <c r="W43" s="226">
        <v>0.55352199999999996</v>
      </c>
      <c r="X43" s="226">
        <v>1608.01</v>
      </c>
      <c r="Y43" s="227">
        <v>9.1896200000000006E-6</v>
      </c>
      <c r="Z43" s="226">
        <v>1.30514</v>
      </c>
      <c r="AA43" s="228">
        <v>0.96350599999999997</v>
      </c>
    </row>
    <row r="44" spans="1:27" ht="13.5" thickBot="1" x14ac:dyDescent="0.25">
      <c r="A44" s="32">
        <v>85</v>
      </c>
      <c r="B44" s="33">
        <v>327.60000000000002</v>
      </c>
      <c r="C44" s="34">
        <v>298.3</v>
      </c>
      <c r="D44" s="35">
        <v>888.8</v>
      </c>
      <c r="E44" s="35">
        <v>1187.0999999999999</v>
      </c>
      <c r="F44" s="36">
        <v>1.7739999999999999E-2</v>
      </c>
      <c r="G44" s="40">
        <v>4.444</v>
      </c>
      <c r="L44" s="229">
        <v>40</v>
      </c>
      <c r="M44" s="230">
        <v>286.69400000000002</v>
      </c>
      <c r="N44" s="230">
        <v>255.83600000000001</v>
      </c>
      <c r="O44" s="230">
        <v>919.94200000000001</v>
      </c>
      <c r="P44" s="230">
        <v>1175.78</v>
      </c>
      <c r="Q44" s="230">
        <v>0.12774199999999999</v>
      </c>
      <c r="R44" s="230">
        <v>7.8282699999999998</v>
      </c>
      <c r="S44" s="230">
        <v>0.41913299999999998</v>
      </c>
      <c r="T44" s="230">
        <v>1.2325600000000001</v>
      </c>
      <c r="U44" s="230">
        <v>1.6516999999999999</v>
      </c>
      <c r="V44" s="230">
        <v>0.40777799999999997</v>
      </c>
      <c r="W44" s="230">
        <v>0.554755</v>
      </c>
      <c r="X44" s="230">
        <v>1608.79</v>
      </c>
      <c r="Y44" s="231">
        <v>9.2048500000000005E-6</v>
      </c>
      <c r="Z44" s="230">
        <v>1.3049599999999999</v>
      </c>
      <c r="AA44" s="232">
        <v>0.96305700000000005</v>
      </c>
    </row>
    <row r="45" spans="1:27" x14ac:dyDescent="0.2">
      <c r="A45" s="30">
        <v>90</v>
      </c>
      <c r="B45" s="26">
        <v>331.2</v>
      </c>
      <c r="C45" s="27">
        <v>302</v>
      </c>
      <c r="D45" s="28">
        <v>886</v>
      </c>
      <c r="E45" s="28">
        <v>1188</v>
      </c>
      <c r="F45" s="22">
        <v>1.7780000000000001E-2</v>
      </c>
      <c r="G45" s="41">
        <v>4.242</v>
      </c>
      <c r="L45" s="224">
        <v>41</v>
      </c>
      <c r="M45" s="217">
        <v>287.85899999999998</v>
      </c>
      <c r="N45" s="217">
        <v>257.029</v>
      </c>
      <c r="O45" s="217">
        <v>919.10299999999995</v>
      </c>
      <c r="P45" s="217">
        <v>1176.1300000000001</v>
      </c>
      <c r="Q45" s="217">
        <v>0.12993499999999999</v>
      </c>
      <c r="R45" s="217">
        <v>7.6961399999999998</v>
      </c>
      <c r="S45" s="217">
        <v>0.42072700000000002</v>
      </c>
      <c r="T45" s="217">
        <v>1.2295199999999999</v>
      </c>
      <c r="U45" s="217">
        <v>1.65025</v>
      </c>
      <c r="V45" s="217">
        <v>0.40851599999999999</v>
      </c>
      <c r="W45" s="217">
        <v>0.55598199999999998</v>
      </c>
      <c r="X45" s="217">
        <v>1609.55</v>
      </c>
      <c r="Y45" s="218">
        <v>9.2198600000000002E-6</v>
      </c>
      <c r="Z45" s="217">
        <v>1.30477</v>
      </c>
      <c r="AA45" s="216">
        <v>0.96261099999999999</v>
      </c>
    </row>
    <row r="46" spans="1:27" ht="13.5" thickBot="1" x14ac:dyDescent="0.25">
      <c r="A46" s="32">
        <v>95</v>
      </c>
      <c r="B46" s="33">
        <v>334.6</v>
      </c>
      <c r="C46" s="34">
        <v>305.60000000000002</v>
      </c>
      <c r="D46" s="35">
        <v>883.3</v>
      </c>
      <c r="E46" s="35">
        <v>1188.8</v>
      </c>
      <c r="F46" s="36">
        <v>1.7819999999999999E-2</v>
      </c>
      <c r="G46" s="40">
        <v>4.0590000000000002</v>
      </c>
      <c r="L46" s="223">
        <v>42</v>
      </c>
      <c r="M46" s="214">
        <v>289.00599999999997</v>
      </c>
      <c r="N46" s="214">
        <v>258.20699999999999</v>
      </c>
      <c r="O46" s="214">
        <v>918.27499999999998</v>
      </c>
      <c r="P46" s="214">
        <v>1176.48</v>
      </c>
      <c r="Q46" s="214">
        <v>0.13212599999999999</v>
      </c>
      <c r="R46" s="214">
        <v>7.5685200000000004</v>
      </c>
      <c r="S46" s="214">
        <v>0.42229699999999998</v>
      </c>
      <c r="T46" s="214">
        <v>1.2265299999999999</v>
      </c>
      <c r="U46" s="214">
        <v>1.64883</v>
      </c>
      <c r="V46" s="214">
        <v>0.409248</v>
      </c>
      <c r="W46" s="214">
        <v>0.55720199999999998</v>
      </c>
      <c r="X46" s="214">
        <v>1610.29</v>
      </c>
      <c r="Y46" s="215">
        <v>9.2346499999999998E-6</v>
      </c>
      <c r="Z46" s="214">
        <v>1.3045899999999999</v>
      </c>
      <c r="AA46" s="213">
        <v>0.96216800000000002</v>
      </c>
    </row>
    <row r="47" spans="1:27" x14ac:dyDescent="0.2">
      <c r="A47" s="30">
        <v>100</v>
      </c>
      <c r="B47" s="26">
        <v>337.9</v>
      </c>
      <c r="C47" s="27">
        <v>309.10000000000002</v>
      </c>
      <c r="D47" s="28">
        <v>880.6</v>
      </c>
      <c r="E47" s="28">
        <v>1189.5999999999999</v>
      </c>
      <c r="F47" s="22">
        <v>1.7850000000000001E-2</v>
      </c>
      <c r="G47" s="41">
        <v>3.891</v>
      </c>
      <c r="L47" s="224">
        <v>43</v>
      </c>
      <c r="M47" s="217">
        <v>290.137</v>
      </c>
      <c r="N47" s="217">
        <v>259.36799999999999</v>
      </c>
      <c r="O47" s="217">
        <v>917.45600000000002</v>
      </c>
      <c r="P47" s="217">
        <v>1176.82</v>
      </c>
      <c r="Q47" s="217">
        <v>0.13431499999999999</v>
      </c>
      <c r="R47" s="217">
        <v>7.4451700000000001</v>
      </c>
      <c r="S47" s="217">
        <v>0.423842</v>
      </c>
      <c r="T47" s="217">
        <v>1.22359</v>
      </c>
      <c r="U47" s="217">
        <v>1.6474299999999999</v>
      </c>
      <c r="V47" s="217">
        <v>0.40997600000000001</v>
      </c>
      <c r="W47" s="217">
        <v>0.55841499999999999</v>
      </c>
      <c r="X47" s="217">
        <v>1611.02</v>
      </c>
      <c r="Y47" s="218">
        <v>9.2492400000000006E-6</v>
      </c>
      <c r="Z47" s="217">
        <v>1.3044</v>
      </c>
      <c r="AA47" s="216">
        <v>0.961727</v>
      </c>
    </row>
    <row r="48" spans="1:27" ht="13.5" thickBot="1" x14ac:dyDescent="0.25">
      <c r="A48" s="32">
        <v>105</v>
      </c>
      <c r="B48" s="33">
        <v>341.1</v>
      </c>
      <c r="C48" s="34">
        <v>312.39999999999998</v>
      </c>
      <c r="D48" s="35">
        <v>878</v>
      </c>
      <c r="E48" s="35">
        <v>1190.3</v>
      </c>
      <c r="F48" s="36">
        <v>1.789E-2</v>
      </c>
      <c r="G48" s="40">
        <v>3.7360000000000002</v>
      </c>
      <c r="L48" s="223">
        <v>44</v>
      </c>
      <c r="M48" s="214">
        <v>291.25299999999999</v>
      </c>
      <c r="N48" s="214">
        <v>260.51299999999998</v>
      </c>
      <c r="O48" s="214">
        <v>916.64599999999996</v>
      </c>
      <c r="P48" s="214">
        <v>1177.1600000000001</v>
      </c>
      <c r="Q48" s="214">
        <v>0.13650200000000001</v>
      </c>
      <c r="R48" s="214">
        <v>7.3258700000000001</v>
      </c>
      <c r="S48" s="214">
        <v>0.42536400000000002</v>
      </c>
      <c r="T48" s="214">
        <v>1.2206900000000001</v>
      </c>
      <c r="U48" s="214">
        <v>1.6460600000000001</v>
      </c>
      <c r="V48" s="214">
        <v>0.41069800000000001</v>
      </c>
      <c r="W48" s="214">
        <v>0.55962199999999995</v>
      </c>
      <c r="X48" s="214">
        <v>1611.73</v>
      </c>
      <c r="Y48" s="215">
        <v>9.2636200000000003E-6</v>
      </c>
      <c r="Z48" s="214">
        <v>1.3042199999999999</v>
      </c>
      <c r="AA48" s="213">
        <v>0.96128899999999995</v>
      </c>
    </row>
    <row r="49" spans="1:27" x14ac:dyDescent="0.2">
      <c r="A49" s="30">
        <v>110</v>
      </c>
      <c r="B49" s="26">
        <v>344.2</v>
      </c>
      <c r="C49" s="27">
        <v>315.60000000000002</v>
      </c>
      <c r="D49" s="28">
        <v>875.5</v>
      </c>
      <c r="E49" s="28">
        <v>1191.0999999999999</v>
      </c>
      <c r="F49" s="22">
        <v>1.7919999999999998E-2</v>
      </c>
      <c r="G49" s="41">
        <v>3.5939999999999999</v>
      </c>
      <c r="L49" s="224">
        <v>45</v>
      </c>
      <c r="M49" s="217">
        <v>292.35300000000001</v>
      </c>
      <c r="N49" s="217">
        <v>261.64299999999997</v>
      </c>
      <c r="O49" s="217">
        <v>915.846</v>
      </c>
      <c r="P49" s="217">
        <v>1177.49</v>
      </c>
      <c r="Q49" s="217">
        <v>0.13868800000000001</v>
      </c>
      <c r="R49" s="217">
        <v>7.2104400000000002</v>
      </c>
      <c r="S49" s="217">
        <v>0.42686299999999999</v>
      </c>
      <c r="T49" s="217">
        <v>1.21784</v>
      </c>
      <c r="U49" s="217">
        <v>1.6447099999999999</v>
      </c>
      <c r="V49" s="217">
        <v>0.41141499999999998</v>
      </c>
      <c r="W49" s="217">
        <v>0.56082200000000004</v>
      </c>
      <c r="X49" s="217">
        <v>1612.43</v>
      </c>
      <c r="Y49" s="218">
        <v>9.2777999999999995E-6</v>
      </c>
      <c r="Z49" s="217">
        <v>1.3040499999999999</v>
      </c>
      <c r="AA49" s="216">
        <v>0.96085399999999999</v>
      </c>
    </row>
    <row r="50" spans="1:27" ht="13.5" thickBot="1" x14ac:dyDescent="0.25">
      <c r="A50" s="32">
        <v>115</v>
      </c>
      <c r="B50" s="33">
        <v>347.2</v>
      </c>
      <c r="C50" s="34">
        <v>318.8</v>
      </c>
      <c r="D50" s="35">
        <v>873</v>
      </c>
      <c r="E50" s="35">
        <v>1191.7</v>
      </c>
      <c r="F50" s="36">
        <v>1.796E-2</v>
      </c>
      <c r="G50" s="40">
        <v>3.4620000000000002</v>
      </c>
      <c r="L50" s="223">
        <v>46</v>
      </c>
      <c r="M50" s="214">
        <v>293.43900000000002</v>
      </c>
      <c r="N50" s="214">
        <v>262.75799999999998</v>
      </c>
      <c r="O50" s="214">
        <v>915.05399999999997</v>
      </c>
      <c r="P50" s="214">
        <v>1177.81</v>
      </c>
      <c r="Q50" s="214">
        <v>0.140871</v>
      </c>
      <c r="R50" s="214">
        <v>7.0986799999999999</v>
      </c>
      <c r="S50" s="214">
        <v>0.42834100000000003</v>
      </c>
      <c r="T50" s="214">
        <v>1.2150399999999999</v>
      </c>
      <c r="U50" s="214">
        <v>1.6433800000000001</v>
      </c>
      <c r="V50" s="214">
        <v>0.41212799999999999</v>
      </c>
      <c r="W50" s="214">
        <v>0.56201599999999996</v>
      </c>
      <c r="X50" s="214">
        <v>1613.11</v>
      </c>
      <c r="Y50" s="215">
        <v>9.2917999999999997E-6</v>
      </c>
      <c r="Z50" s="214">
        <v>1.3038700000000001</v>
      </c>
      <c r="AA50" s="213">
        <v>0.96042099999999997</v>
      </c>
    </row>
    <row r="51" spans="1:27" x14ac:dyDescent="0.2">
      <c r="A51" s="30">
        <v>120</v>
      </c>
      <c r="B51" s="26">
        <v>350.1</v>
      </c>
      <c r="C51" s="27">
        <v>321.8</v>
      </c>
      <c r="D51" s="28">
        <v>870.5</v>
      </c>
      <c r="E51" s="28">
        <v>1192.3</v>
      </c>
      <c r="F51" s="22">
        <v>1.7989999999999999E-2</v>
      </c>
      <c r="G51" s="41">
        <v>3.34</v>
      </c>
      <c r="L51" s="224">
        <v>47</v>
      </c>
      <c r="M51" s="217">
        <v>294.51</v>
      </c>
      <c r="N51" s="217">
        <v>263.86</v>
      </c>
      <c r="O51" s="217">
        <v>914.27099999999996</v>
      </c>
      <c r="P51" s="217">
        <v>1178.1300000000001</v>
      </c>
      <c r="Q51" s="217">
        <v>0.14305300000000001</v>
      </c>
      <c r="R51" s="217">
        <v>6.9904200000000003</v>
      </c>
      <c r="S51" s="217">
        <v>0.42979800000000001</v>
      </c>
      <c r="T51" s="217">
        <v>1.21227</v>
      </c>
      <c r="U51" s="217">
        <v>1.6420699999999999</v>
      </c>
      <c r="V51" s="217">
        <v>0.41283599999999998</v>
      </c>
      <c r="W51" s="217">
        <v>0.56320400000000004</v>
      </c>
      <c r="X51" s="217">
        <v>1613.78</v>
      </c>
      <c r="Y51" s="218">
        <v>9.3056100000000002E-6</v>
      </c>
      <c r="Z51" s="217">
        <v>1.30369</v>
      </c>
      <c r="AA51" s="216">
        <v>0.95999000000000001</v>
      </c>
    </row>
    <row r="52" spans="1:27" ht="13.5" thickBot="1" x14ac:dyDescent="0.25">
      <c r="A52" s="32">
        <v>125</v>
      </c>
      <c r="B52" s="33">
        <v>352.9</v>
      </c>
      <c r="C52" s="34">
        <v>324.8</v>
      </c>
      <c r="D52" s="35">
        <v>868.2</v>
      </c>
      <c r="E52" s="35">
        <v>1193</v>
      </c>
      <c r="F52" s="36">
        <v>1.8030000000000001E-2</v>
      </c>
      <c r="G52" s="40">
        <v>3.226</v>
      </c>
      <c r="L52" s="223">
        <v>48</v>
      </c>
      <c r="M52" s="214">
        <v>295.56799999999998</v>
      </c>
      <c r="N52" s="214">
        <v>264.947</v>
      </c>
      <c r="O52" s="214">
        <v>913.49699999999996</v>
      </c>
      <c r="P52" s="214">
        <v>1178.44</v>
      </c>
      <c r="Q52" s="214">
        <v>0.145233</v>
      </c>
      <c r="R52" s="214">
        <v>6.8855000000000004</v>
      </c>
      <c r="S52" s="214">
        <v>0.43123499999999998</v>
      </c>
      <c r="T52" s="214">
        <v>1.2095499999999999</v>
      </c>
      <c r="U52" s="214">
        <v>1.6407799999999999</v>
      </c>
      <c r="V52" s="214">
        <v>0.41353899999999999</v>
      </c>
      <c r="W52" s="214">
        <v>0.56438500000000003</v>
      </c>
      <c r="X52" s="214">
        <v>1614.44</v>
      </c>
      <c r="Y52" s="215">
        <v>9.3192399999999999E-6</v>
      </c>
      <c r="Z52" s="214">
        <v>1.30352</v>
      </c>
      <c r="AA52" s="213">
        <v>0.95956200000000003</v>
      </c>
    </row>
    <row r="53" spans="1:27" x14ac:dyDescent="0.2">
      <c r="A53" s="30">
        <v>130</v>
      </c>
      <c r="B53" s="26">
        <v>355.6</v>
      </c>
      <c r="C53" s="27">
        <v>327.7</v>
      </c>
      <c r="D53" s="28">
        <v>865.9</v>
      </c>
      <c r="E53" s="28">
        <v>1193.5</v>
      </c>
      <c r="F53" s="22">
        <v>1.806E-2</v>
      </c>
      <c r="G53" s="41">
        <v>3.1190000000000002</v>
      </c>
      <c r="L53" s="224">
        <v>49</v>
      </c>
      <c r="M53" s="217">
        <v>296.61200000000002</v>
      </c>
      <c r="N53" s="217">
        <v>266.02100000000002</v>
      </c>
      <c r="O53" s="217">
        <v>912.73</v>
      </c>
      <c r="P53" s="217">
        <v>1178.75</v>
      </c>
      <c r="Q53" s="217">
        <v>0.14741099999999999</v>
      </c>
      <c r="R53" s="217">
        <v>6.78376</v>
      </c>
      <c r="S53" s="217">
        <v>0.43265100000000001</v>
      </c>
      <c r="T53" s="217">
        <v>1.20686</v>
      </c>
      <c r="U53" s="217">
        <v>1.6395200000000001</v>
      </c>
      <c r="V53" s="217">
        <v>0.414238</v>
      </c>
      <c r="W53" s="217">
        <v>0.56556099999999998</v>
      </c>
      <c r="X53" s="217">
        <v>1615.08</v>
      </c>
      <c r="Y53" s="218">
        <v>9.3326999999999996E-6</v>
      </c>
      <c r="Z53" s="217">
        <v>1.30335</v>
      </c>
      <c r="AA53" s="216">
        <v>0.95913599999999999</v>
      </c>
    </row>
    <row r="54" spans="1:27" ht="13.5" thickBot="1" x14ac:dyDescent="0.25">
      <c r="A54" s="32">
        <v>135</v>
      </c>
      <c r="B54" s="33">
        <v>358.3</v>
      </c>
      <c r="C54" s="34">
        <v>330.5</v>
      </c>
      <c r="D54" s="35">
        <v>863.6</v>
      </c>
      <c r="E54" s="35">
        <v>1194</v>
      </c>
      <c r="F54" s="36">
        <v>1.8089999999999998E-2</v>
      </c>
      <c r="G54" s="40">
        <v>3.02</v>
      </c>
      <c r="L54" s="223">
        <v>50</v>
      </c>
      <c r="M54" s="214">
        <v>297.64299999999997</v>
      </c>
      <c r="N54" s="214">
        <v>267.08100000000002</v>
      </c>
      <c r="O54" s="214">
        <v>911.97199999999998</v>
      </c>
      <c r="P54" s="214">
        <v>1179.05</v>
      </c>
      <c r="Q54" s="214">
        <v>0.149587</v>
      </c>
      <c r="R54" s="214">
        <v>6.6850500000000004</v>
      </c>
      <c r="S54" s="214">
        <v>0.43404900000000002</v>
      </c>
      <c r="T54" s="214">
        <v>1.2042200000000001</v>
      </c>
      <c r="U54" s="214">
        <v>1.6382699999999999</v>
      </c>
      <c r="V54" s="214">
        <v>0.41493200000000002</v>
      </c>
      <c r="W54" s="214">
        <v>0.56673099999999998</v>
      </c>
      <c r="X54" s="214">
        <v>1615.71</v>
      </c>
      <c r="Y54" s="215">
        <v>9.3459800000000003E-6</v>
      </c>
      <c r="Z54" s="214">
        <v>1.30318</v>
      </c>
      <c r="AA54" s="213">
        <v>0.95871300000000004</v>
      </c>
    </row>
    <row r="55" spans="1:27" x14ac:dyDescent="0.2">
      <c r="A55" s="30">
        <v>140</v>
      </c>
      <c r="B55" s="26">
        <v>360.9</v>
      </c>
      <c r="C55" s="27">
        <v>333.2</v>
      </c>
      <c r="D55" s="28">
        <v>861.3</v>
      </c>
      <c r="E55" s="28">
        <v>1194.5</v>
      </c>
      <c r="F55" s="22">
        <v>1.8120000000000001E-2</v>
      </c>
      <c r="G55" s="41">
        <v>2.927</v>
      </c>
      <c r="L55" s="224">
        <v>51</v>
      </c>
      <c r="M55" s="217">
        <v>298.661</v>
      </c>
      <c r="N55" s="217">
        <v>268.13</v>
      </c>
      <c r="O55" s="217">
        <v>911.221</v>
      </c>
      <c r="P55" s="217">
        <v>1179.3499999999999</v>
      </c>
      <c r="Q55" s="217">
        <v>0.15176200000000001</v>
      </c>
      <c r="R55" s="217">
        <v>6.5892499999999998</v>
      </c>
      <c r="S55" s="217">
        <v>0.43542700000000001</v>
      </c>
      <c r="T55" s="217">
        <v>1.2016100000000001</v>
      </c>
      <c r="U55" s="217">
        <v>1.6370400000000001</v>
      </c>
      <c r="V55" s="217">
        <v>0.41562100000000002</v>
      </c>
      <c r="W55" s="217">
        <v>0.56789500000000004</v>
      </c>
      <c r="X55" s="217">
        <v>1616.33</v>
      </c>
      <c r="Y55" s="218">
        <v>9.3590999999999999E-6</v>
      </c>
      <c r="Z55" s="217">
        <v>1.30301</v>
      </c>
      <c r="AA55" s="216">
        <v>0.958291</v>
      </c>
    </row>
    <row r="56" spans="1:27" ht="13.5" thickBot="1" x14ac:dyDescent="0.25">
      <c r="A56" s="32">
        <v>145</v>
      </c>
      <c r="B56" s="33">
        <v>363.4</v>
      </c>
      <c r="C56" s="34">
        <v>335.9</v>
      </c>
      <c r="D56" s="35">
        <v>859.1</v>
      </c>
      <c r="E56" s="35">
        <v>1195.0999999999999</v>
      </c>
      <c r="F56" s="36">
        <v>1.8149999999999999E-2</v>
      </c>
      <c r="G56" s="40">
        <v>2.839</v>
      </c>
      <c r="L56" s="223">
        <v>52</v>
      </c>
      <c r="M56" s="214">
        <v>299.66699999999997</v>
      </c>
      <c r="N56" s="214">
        <v>269.16500000000002</v>
      </c>
      <c r="O56" s="214">
        <v>910.47699999999998</v>
      </c>
      <c r="P56" s="214">
        <v>1179.6400000000001</v>
      </c>
      <c r="Q56" s="214">
        <v>0.15393599999999999</v>
      </c>
      <c r="R56" s="214">
        <v>6.4962200000000001</v>
      </c>
      <c r="S56" s="214">
        <v>0.43678800000000001</v>
      </c>
      <c r="T56" s="214">
        <v>1.1990400000000001</v>
      </c>
      <c r="U56" s="214">
        <v>1.6358299999999999</v>
      </c>
      <c r="V56" s="214">
        <v>0.41630600000000001</v>
      </c>
      <c r="W56" s="214">
        <v>0.56905300000000003</v>
      </c>
      <c r="X56" s="214">
        <v>1616.93</v>
      </c>
      <c r="Y56" s="215">
        <v>9.3720699999999992E-6</v>
      </c>
      <c r="Z56" s="214">
        <v>1.3028500000000001</v>
      </c>
      <c r="AA56" s="213">
        <v>0.95787199999999995</v>
      </c>
    </row>
    <row r="57" spans="1:27" x14ac:dyDescent="0.2">
      <c r="A57" s="25">
        <v>150</v>
      </c>
      <c r="B57" s="26">
        <v>365.9</v>
      </c>
      <c r="C57" s="27">
        <v>338.6</v>
      </c>
      <c r="D57" s="28">
        <v>857</v>
      </c>
      <c r="E57" s="28">
        <v>1195.5999999999999</v>
      </c>
      <c r="F57" s="22">
        <v>1.8180000000000002E-2</v>
      </c>
      <c r="G57" s="29">
        <v>2.7559999999999998</v>
      </c>
      <c r="L57" s="224">
        <v>53</v>
      </c>
      <c r="M57" s="217">
        <v>300.661</v>
      </c>
      <c r="N57" s="217">
        <v>270.18900000000002</v>
      </c>
      <c r="O57" s="217">
        <v>909.74099999999999</v>
      </c>
      <c r="P57" s="217">
        <v>1179.93</v>
      </c>
      <c r="Q57" s="217">
        <v>0.156107</v>
      </c>
      <c r="R57" s="217">
        <v>6.40585</v>
      </c>
      <c r="S57" s="217">
        <v>0.43813099999999999</v>
      </c>
      <c r="T57" s="217">
        <v>1.19651</v>
      </c>
      <c r="U57" s="217">
        <v>1.6346400000000001</v>
      </c>
      <c r="V57" s="217">
        <v>0.416987</v>
      </c>
      <c r="W57" s="217">
        <v>0.57020599999999999</v>
      </c>
      <c r="X57" s="217">
        <v>1617.53</v>
      </c>
      <c r="Y57" s="218">
        <v>9.3848700000000002E-6</v>
      </c>
      <c r="Z57" s="217">
        <v>1.3026800000000001</v>
      </c>
      <c r="AA57" s="216">
        <v>0.95745499999999995</v>
      </c>
    </row>
    <row r="58" spans="1:27" x14ac:dyDescent="0.2">
      <c r="A58" s="25">
        <v>155</v>
      </c>
      <c r="B58" s="26">
        <v>368.3</v>
      </c>
      <c r="C58" s="27">
        <v>341.1</v>
      </c>
      <c r="D58" s="28">
        <v>854.9</v>
      </c>
      <c r="E58" s="28">
        <v>1196</v>
      </c>
      <c r="F58" s="22">
        <v>1.821E-2</v>
      </c>
      <c r="G58" s="29">
        <v>2.6779999999999999</v>
      </c>
      <c r="L58" s="223">
        <v>54</v>
      </c>
      <c r="M58" s="214">
        <v>301.64299999999997</v>
      </c>
      <c r="N58" s="214">
        <v>271.20100000000002</v>
      </c>
      <c r="O58" s="214">
        <v>909.01199999999994</v>
      </c>
      <c r="P58" s="214">
        <v>1180.21</v>
      </c>
      <c r="Q58" s="214">
        <v>0.158278</v>
      </c>
      <c r="R58" s="214">
        <v>6.3180100000000001</v>
      </c>
      <c r="S58" s="214">
        <v>0.43945699999999999</v>
      </c>
      <c r="T58" s="214">
        <v>1.19401</v>
      </c>
      <c r="U58" s="214">
        <v>1.6334599999999999</v>
      </c>
      <c r="V58" s="214">
        <v>0.41766399999999998</v>
      </c>
      <c r="W58" s="214">
        <v>0.57135400000000003</v>
      </c>
      <c r="X58" s="214">
        <v>1618.11</v>
      </c>
      <c r="Y58" s="215">
        <v>9.3975299999999998E-6</v>
      </c>
      <c r="Z58" s="214">
        <v>1.3025199999999999</v>
      </c>
      <c r="AA58" s="213">
        <v>0.95704</v>
      </c>
    </row>
    <row r="59" spans="1:27" x14ac:dyDescent="0.2">
      <c r="A59" s="25">
        <v>160</v>
      </c>
      <c r="B59" s="26">
        <v>370.6</v>
      </c>
      <c r="C59" s="27">
        <v>343.6</v>
      </c>
      <c r="D59" s="28">
        <v>852.8</v>
      </c>
      <c r="E59" s="28">
        <v>1196.4000000000001</v>
      </c>
      <c r="F59" s="22">
        <v>1.8239999999999999E-2</v>
      </c>
      <c r="G59" s="29">
        <v>2.605</v>
      </c>
      <c r="L59" s="224">
        <v>55</v>
      </c>
      <c r="M59" s="217">
        <v>302.61399999999998</v>
      </c>
      <c r="N59" s="217">
        <v>272.202</v>
      </c>
      <c r="O59" s="217">
        <v>908.29</v>
      </c>
      <c r="P59" s="217">
        <v>1180.49</v>
      </c>
      <c r="Q59" s="217">
        <v>0.16044600000000001</v>
      </c>
      <c r="R59" s="217">
        <v>6.2326100000000002</v>
      </c>
      <c r="S59" s="217">
        <v>0.44076599999999999</v>
      </c>
      <c r="T59" s="217">
        <v>1.19154</v>
      </c>
      <c r="U59" s="217">
        <v>1.6323000000000001</v>
      </c>
      <c r="V59" s="217">
        <v>0.41833700000000001</v>
      </c>
      <c r="W59" s="217">
        <v>0.572496</v>
      </c>
      <c r="X59" s="217">
        <v>1618.68</v>
      </c>
      <c r="Y59" s="218">
        <v>9.4100400000000008E-6</v>
      </c>
      <c r="Z59" s="217">
        <v>1.30236</v>
      </c>
      <c r="AA59" s="216">
        <v>0.95662700000000001</v>
      </c>
    </row>
    <row r="60" spans="1:27" x14ac:dyDescent="0.2">
      <c r="A60" s="25">
        <v>165</v>
      </c>
      <c r="B60" s="26">
        <v>372.9</v>
      </c>
      <c r="C60" s="27">
        <v>346.1</v>
      </c>
      <c r="D60" s="28">
        <v>850.8</v>
      </c>
      <c r="E60" s="28">
        <v>1196.9000000000001</v>
      </c>
      <c r="F60" s="22">
        <v>1.8270000000000002E-2</v>
      </c>
      <c r="G60" s="29">
        <v>2.5350000000000001</v>
      </c>
      <c r="L60" s="223">
        <v>56</v>
      </c>
      <c r="M60" s="214">
        <v>303.57400000000001</v>
      </c>
      <c r="N60" s="214">
        <v>273.19099999999997</v>
      </c>
      <c r="O60" s="214">
        <v>907.57500000000005</v>
      </c>
      <c r="P60" s="214">
        <v>1180.77</v>
      </c>
      <c r="Q60" s="214">
        <v>0.16261400000000001</v>
      </c>
      <c r="R60" s="214">
        <v>6.1495499999999996</v>
      </c>
      <c r="S60" s="214">
        <v>0.44205899999999998</v>
      </c>
      <c r="T60" s="214">
        <v>1.1891</v>
      </c>
      <c r="U60" s="214">
        <v>1.6311599999999999</v>
      </c>
      <c r="V60" s="214">
        <v>0.41900500000000002</v>
      </c>
      <c r="W60" s="214">
        <v>0.57363299999999995</v>
      </c>
      <c r="X60" s="214">
        <v>1619.25</v>
      </c>
      <c r="Y60" s="215">
        <v>9.4223999999999998E-6</v>
      </c>
      <c r="Z60" s="214">
        <v>1.3022</v>
      </c>
      <c r="AA60" s="213">
        <v>0.95621599999999995</v>
      </c>
    </row>
    <row r="61" spans="1:27" x14ac:dyDescent="0.2">
      <c r="A61" s="25">
        <v>170</v>
      </c>
      <c r="B61" s="26">
        <v>375.2</v>
      </c>
      <c r="C61" s="27">
        <v>348.5</v>
      </c>
      <c r="D61" s="28">
        <v>848.8</v>
      </c>
      <c r="E61" s="28">
        <v>1197.3</v>
      </c>
      <c r="F61" s="22">
        <v>1.83E-2</v>
      </c>
      <c r="G61" s="29">
        <v>2.4689999999999999</v>
      </c>
      <c r="L61" s="224">
        <v>57</v>
      </c>
      <c r="M61" s="217">
        <v>304.52300000000002</v>
      </c>
      <c r="N61" s="217">
        <v>274.17</v>
      </c>
      <c r="O61" s="217">
        <v>906.86599999999999</v>
      </c>
      <c r="P61" s="217">
        <v>1181.04</v>
      </c>
      <c r="Q61" s="217">
        <v>0.16477900000000001</v>
      </c>
      <c r="R61" s="217">
        <v>6.0687199999999999</v>
      </c>
      <c r="S61" s="217">
        <v>0.44333600000000001</v>
      </c>
      <c r="T61" s="217">
        <v>1.1867000000000001</v>
      </c>
      <c r="U61" s="217">
        <v>1.6300300000000001</v>
      </c>
      <c r="V61" s="217">
        <v>0.41966900000000001</v>
      </c>
      <c r="W61" s="217">
        <v>0.57476499999999997</v>
      </c>
      <c r="X61" s="217">
        <v>1619.8</v>
      </c>
      <c r="Y61" s="218">
        <v>9.4346200000000008E-6</v>
      </c>
      <c r="Z61" s="217">
        <v>1.3020400000000001</v>
      </c>
      <c r="AA61" s="216">
        <v>0.95580699999999996</v>
      </c>
    </row>
    <row r="62" spans="1:27" x14ac:dyDescent="0.2">
      <c r="A62" s="25">
        <v>175</v>
      </c>
      <c r="B62" s="26">
        <v>377.4</v>
      </c>
      <c r="C62" s="27">
        <v>350.8</v>
      </c>
      <c r="D62" s="28">
        <v>846.8</v>
      </c>
      <c r="E62" s="28">
        <v>1197.5999999999999</v>
      </c>
      <c r="F62" s="22">
        <v>1.8329999999999999E-2</v>
      </c>
      <c r="G62" s="29">
        <v>2.407</v>
      </c>
      <c r="L62" s="223">
        <v>58</v>
      </c>
      <c r="M62" s="214">
        <v>305.46100000000001</v>
      </c>
      <c r="N62" s="214">
        <v>275.13799999999998</v>
      </c>
      <c r="O62" s="214">
        <v>906.16300000000001</v>
      </c>
      <c r="P62" s="214">
        <v>1181.3</v>
      </c>
      <c r="Q62" s="214">
        <v>0.16694400000000001</v>
      </c>
      <c r="R62" s="214">
        <v>5.99003</v>
      </c>
      <c r="S62" s="214">
        <v>0.44459799999999999</v>
      </c>
      <c r="T62" s="214">
        <v>1.18432</v>
      </c>
      <c r="U62" s="214">
        <v>1.6289199999999999</v>
      </c>
      <c r="V62" s="214">
        <v>0.42032999999999998</v>
      </c>
      <c r="W62" s="214">
        <v>0.57589199999999996</v>
      </c>
      <c r="X62" s="214">
        <v>1620.34</v>
      </c>
      <c r="Y62" s="215">
        <v>9.4467099999999995E-6</v>
      </c>
      <c r="Z62" s="214">
        <v>1.3018799999999999</v>
      </c>
      <c r="AA62" s="213">
        <v>0.95540000000000003</v>
      </c>
    </row>
    <row r="63" spans="1:27" ht="13.5" thickBot="1" x14ac:dyDescent="0.25">
      <c r="A63" s="25">
        <v>180</v>
      </c>
      <c r="B63" s="26">
        <v>379.6</v>
      </c>
      <c r="C63" s="27">
        <v>353.1</v>
      </c>
      <c r="D63" s="28">
        <v>844.9</v>
      </c>
      <c r="E63" s="28">
        <v>1198</v>
      </c>
      <c r="F63" s="22">
        <v>1.8350000000000002E-2</v>
      </c>
      <c r="G63" s="29">
        <v>2.347</v>
      </c>
      <c r="L63" s="225">
        <v>59</v>
      </c>
      <c r="M63" s="226">
        <v>306.38900000000001</v>
      </c>
      <c r="N63" s="226">
        <v>276.096</v>
      </c>
      <c r="O63" s="226">
        <v>905.46699999999998</v>
      </c>
      <c r="P63" s="226">
        <v>1181.56</v>
      </c>
      <c r="Q63" s="226">
        <v>0.16910700000000001</v>
      </c>
      <c r="R63" s="226">
        <v>5.9134200000000003</v>
      </c>
      <c r="S63" s="226">
        <v>0.44584499999999999</v>
      </c>
      <c r="T63" s="226">
        <v>1.18198</v>
      </c>
      <c r="U63" s="226">
        <v>1.6278300000000001</v>
      </c>
      <c r="V63" s="226">
        <v>0.42098600000000003</v>
      </c>
      <c r="W63" s="226">
        <v>0.577013</v>
      </c>
      <c r="X63" s="226">
        <v>1620.88</v>
      </c>
      <c r="Y63" s="227">
        <v>9.4586699999999993E-6</v>
      </c>
      <c r="Z63" s="226">
        <v>1.30172</v>
      </c>
      <c r="AA63" s="228">
        <v>0.95499500000000004</v>
      </c>
    </row>
    <row r="64" spans="1:27" x14ac:dyDescent="0.2">
      <c r="A64" s="25">
        <v>185</v>
      </c>
      <c r="B64" s="26">
        <v>381.7</v>
      </c>
      <c r="C64" s="27">
        <v>355.4</v>
      </c>
      <c r="D64" s="28">
        <v>842.9</v>
      </c>
      <c r="E64" s="28">
        <v>1198.3</v>
      </c>
      <c r="F64" s="22">
        <v>1.839E-2</v>
      </c>
      <c r="G64" s="29">
        <v>2.2909999999999999</v>
      </c>
      <c r="L64" s="229">
        <v>60</v>
      </c>
      <c r="M64" s="230">
        <v>307.30799999999999</v>
      </c>
      <c r="N64" s="230">
        <v>277.04300000000001</v>
      </c>
      <c r="O64" s="230">
        <v>904.77700000000004</v>
      </c>
      <c r="P64" s="230">
        <v>1181.82</v>
      </c>
      <c r="Q64" s="230">
        <v>0.171269</v>
      </c>
      <c r="R64" s="230">
        <v>5.8387799999999999</v>
      </c>
      <c r="S64" s="230">
        <v>0.44707799999999998</v>
      </c>
      <c r="T64" s="230">
        <v>1.17967</v>
      </c>
      <c r="U64" s="230">
        <v>1.6267400000000001</v>
      </c>
      <c r="V64" s="230">
        <v>0.42163899999999999</v>
      </c>
      <c r="W64" s="230">
        <v>0.57813000000000003</v>
      </c>
      <c r="X64" s="230">
        <v>1621.4</v>
      </c>
      <c r="Y64" s="231">
        <v>9.4704899999999995E-6</v>
      </c>
      <c r="Z64" s="230">
        <v>1.3015699999999999</v>
      </c>
      <c r="AA64" s="232">
        <v>0.954592</v>
      </c>
    </row>
    <row r="65" spans="1:27" x14ac:dyDescent="0.2">
      <c r="A65" s="25">
        <v>190</v>
      </c>
      <c r="B65" s="26">
        <v>383.8</v>
      </c>
      <c r="C65" s="27">
        <v>357.6</v>
      </c>
      <c r="D65" s="28">
        <v>841</v>
      </c>
      <c r="E65" s="28">
        <v>1198.5999999999999</v>
      </c>
      <c r="F65" s="22">
        <v>1.8409999999999999E-2</v>
      </c>
      <c r="G65" s="29">
        <v>2.2370000000000001</v>
      </c>
      <c r="L65" s="224">
        <v>61</v>
      </c>
      <c r="M65" s="217">
        <v>308.21600000000001</v>
      </c>
      <c r="N65" s="217">
        <v>277.98099999999999</v>
      </c>
      <c r="O65" s="217">
        <v>904.09299999999996</v>
      </c>
      <c r="P65" s="217">
        <v>1182.07</v>
      </c>
      <c r="Q65" s="217">
        <v>0.173429</v>
      </c>
      <c r="R65" s="217">
        <v>5.7660400000000003</v>
      </c>
      <c r="S65" s="217">
        <v>0.44829599999999997</v>
      </c>
      <c r="T65" s="217">
        <v>1.1773800000000001</v>
      </c>
      <c r="U65" s="217">
        <v>1.6256699999999999</v>
      </c>
      <c r="V65" s="217">
        <v>0.422288</v>
      </c>
      <c r="W65" s="217">
        <v>0.57924200000000003</v>
      </c>
      <c r="X65" s="217">
        <v>1621.91</v>
      </c>
      <c r="Y65" s="218">
        <v>9.4821899999999998E-6</v>
      </c>
      <c r="Z65" s="217">
        <v>1.30142</v>
      </c>
      <c r="AA65" s="216">
        <v>0.95419100000000001</v>
      </c>
    </row>
    <row r="66" spans="1:27" ht="13.5" thickBot="1" x14ac:dyDescent="0.25">
      <c r="A66" s="38">
        <v>195</v>
      </c>
      <c r="B66" s="33">
        <v>385.8</v>
      </c>
      <c r="C66" s="34">
        <v>359.8</v>
      </c>
      <c r="D66" s="35">
        <v>839.2</v>
      </c>
      <c r="E66" s="35">
        <v>1199</v>
      </c>
      <c r="F66" s="36">
        <v>1.8440000000000002E-2</v>
      </c>
      <c r="G66" s="39">
        <v>2.1850000000000001</v>
      </c>
      <c r="L66" s="223">
        <v>62</v>
      </c>
      <c r="M66" s="214">
        <v>309.11500000000001</v>
      </c>
      <c r="N66" s="214">
        <v>278.91000000000003</v>
      </c>
      <c r="O66" s="214">
        <v>903.41399999999999</v>
      </c>
      <c r="P66" s="214">
        <v>1182.32</v>
      </c>
      <c r="Q66" s="214">
        <v>0.17558799999999999</v>
      </c>
      <c r="R66" s="214">
        <v>5.6951400000000003</v>
      </c>
      <c r="S66" s="214">
        <v>0.44950000000000001</v>
      </c>
      <c r="T66" s="214">
        <v>1.1751199999999999</v>
      </c>
      <c r="U66" s="214">
        <v>1.62462</v>
      </c>
      <c r="V66" s="214">
        <v>0.422933</v>
      </c>
      <c r="W66" s="214">
        <v>0.580349</v>
      </c>
      <c r="X66" s="214">
        <v>1622.42</v>
      </c>
      <c r="Y66" s="215">
        <v>9.4937599999999994E-6</v>
      </c>
      <c r="Z66" s="214">
        <v>1.3012699999999999</v>
      </c>
      <c r="AA66" s="213">
        <v>0.95379100000000006</v>
      </c>
    </row>
    <row r="67" spans="1:27" x14ac:dyDescent="0.2">
      <c r="A67" s="25">
        <v>200</v>
      </c>
      <c r="B67" s="26">
        <v>387.8</v>
      </c>
      <c r="C67" s="27">
        <v>362</v>
      </c>
      <c r="D67" s="28">
        <v>837.3</v>
      </c>
      <c r="E67" s="28">
        <v>1199.3</v>
      </c>
      <c r="F67" s="22">
        <v>1.847E-2</v>
      </c>
      <c r="G67" s="29">
        <v>2.1360000000000001</v>
      </c>
      <c r="L67" s="224">
        <v>63</v>
      </c>
      <c r="M67" s="217">
        <v>310.00400000000002</v>
      </c>
      <c r="N67" s="217">
        <v>279.82900000000001</v>
      </c>
      <c r="O67" s="217">
        <v>902.74099999999999</v>
      </c>
      <c r="P67" s="217">
        <v>1182.57</v>
      </c>
      <c r="Q67" s="217">
        <v>0.17774599999999999</v>
      </c>
      <c r="R67" s="217">
        <v>5.6259899999999998</v>
      </c>
      <c r="S67" s="217">
        <v>0.45069100000000001</v>
      </c>
      <c r="T67" s="217">
        <v>1.17289</v>
      </c>
      <c r="U67" s="217">
        <v>1.62358</v>
      </c>
      <c r="V67" s="217">
        <v>0.42357400000000001</v>
      </c>
      <c r="W67" s="217">
        <v>0.58145199999999997</v>
      </c>
      <c r="X67" s="217">
        <v>1622.92</v>
      </c>
      <c r="Y67" s="218">
        <v>9.5052199999999998E-6</v>
      </c>
      <c r="Z67" s="217">
        <v>1.30111</v>
      </c>
      <c r="AA67" s="216">
        <v>0.95339300000000005</v>
      </c>
    </row>
    <row r="68" spans="1:27" x14ac:dyDescent="0.2">
      <c r="A68" s="25">
        <v>205</v>
      </c>
      <c r="B68" s="26">
        <v>389.8</v>
      </c>
      <c r="C68" s="27">
        <v>364.1</v>
      </c>
      <c r="D68" s="28">
        <v>835.5</v>
      </c>
      <c r="E68" s="28">
        <v>1199.5999999999999</v>
      </c>
      <c r="F68" s="22">
        <v>1.8499999999999999E-2</v>
      </c>
      <c r="G68" s="29">
        <v>2.089</v>
      </c>
      <c r="L68" s="223">
        <v>64</v>
      </c>
      <c r="M68" s="214">
        <v>310.88400000000001</v>
      </c>
      <c r="N68" s="214">
        <v>280.73899999999998</v>
      </c>
      <c r="O68" s="214">
        <v>902.07399999999996</v>
      </c>
      <c r="P68" s="214">
        <v>1182.81</v>
      </c>
      <c r="Q68" s="214">
        <v>0.17990300000000001</v>
      </c>
      <c r="R68" s="214">
        <v>5.5585500000000003</v>
      </c>
      <c r="S68" s="214">
        <v>0.45186799999999999</v>
      </c>
      <c r="T68" s="214">
        <v>1.1706799999999999</v>
      </c>
      <c r="U68" s="214">
        <v>1.6225499999999999</v>
      </c>
      <c r="V68" s="214">
        <v>0.42421199999999998</v>
      </c>
      <c r="W68" s="214">
        <v>0.58254899999999998</v>
      </c>
      <c r="X68" s="214">
        <v>1623.4</v>
      </c>
      <c r="Y68" s="215">
        <v>9.5165499999999995E-6</v>
      </c>
      <c r="Z68" s="214">
        <v>1.30097</v>
      </c>
      <c r="AA68" s="213">
        <v>0.95299699999999998</v>
      </c>
    </row>
    <row r="69" spans="1:27" x14ac:dyDescent="0.2">
      <c r="A69" s="25">
        <v>210</v>
      </c>
      <c r="B69" s="26">
        <v>391.7</v>
      </c>
      <c r="C69" s="27">
        <v>366.1</v>
      </c>
      <c r="D69" s="28">
        <v>833.7</v>
      </c>
      <c r="E69" s="28">
        <v>1199.8</v>
      </c>
      <c r="F69" s="22">
        <v>1.8519999999999998E-2</v>
      </c>
      <c r="G69" s="29">
        <v>2.044</v>
      </c>
      <c r="L69" s="224">
        <v>65</v>
      </c>
      <c r="M69" s="217">
        <v>311.75599999999997</v>
      </c>
      <c r="N69" s="217">
        <v>281.64</v>
      </c>
      <c r="O69" s="217">
        <v>901.41200000000003</v>
      </c>
      <c r="P69" s="217">
        <v>1183.05</v>
      </c>
      <c r="Q69" s="217">
        <v>0.182059</v>
      </c>
      <c r="R69" s="217">
        <v>5.4927299999999999</v>
      </c>
      <c r="S69" s="217">
        <v>0.45303300000000002</v>
      </c>
      <c r="T69" s="217">
        <v>1.1685000000000001</v>
      </c>
      <c r="U69" s="217">
        <v>1.6215299999999999</v>
      </c>
      <c r="V69" s="217">
        <v>0.42484699999999997</v>
      </c>
      <c r="W69" s="217">
        <v>0.58364300000000002</v>
      </c>
      <c r="X69" s="217">
        <v>1623.88</v>
      </c>
      <c r="Y69" s="218">
        <v>9.5277700000000001E-6</v>
      </c>
      <c r="Z69" s="217">
        <v>1.3008200000000001</v>
      </c>
      <c r="AA69" s="216">
        <v>0.95260299999999998</v>
      </c>
    </row>
    <row r="70" spans="1:27" x14ac:dyDescent="0.2">
      <c r="A70" s="25">
        <v>215</v>
      </c>
      <c r="B70" s="26">
        <v>393.6</v>
      </c>
      <c r="C70" s="27">
        <v>368.2</v>
      </c>
      <c r="D70" s="28">
        <v>831.9</v>
      </c>
      <c r="E70" s="28">
        <v>1200.0999999999999</v>
      </c>
      <c r="F70" s="22">
        <v>1.8550000000000001E-2</v>
      </c>
      <c r="G70" s="29">
        <v>2.0009999999999999</v>
      </c>
      <c r="L70" s="223">
        <v>66</v>
      </c>
      <c r="M70" s="214">
        <v>312.61900000000003</v>
      </c>
      <c r="N70" s="214">
        <v>282.53300000000002</v>
      </c>
      <c r="O70" s="214">
        <v>900.75599999999997</v>
      </c>
      <c r="P70" s="214">
        <v>1183.29</v>
      </c>
      <c r="Q70" s="214">
        <v>0.18421299999999999</v>
      </c>
      <c r="R70" s="214">
        <v>5.42849</v>
      </c>
      <c r="S70" s="214">
        <v>0.45418500000000001</v>
      </c>
      <c r="T70" s="214">
        <v>1.16635</v>
      </c>
      <c r="U70" s="214">
        <v>1.62053</v>
      </c>
      <c r="V70" s="214">
        <v>0.42547699999999999</v>
      </c>
      <c r="W70" s="214">
        <v>0.58473200000000003</v>
      </c>
      <c r="X70" s="214">
        <v>1624.36</v>
      </c>
      <c r="Y70" s="215">
        <v>9.5388799999999997E-6</v>
      </c>
      <c r="Z70" s="214">
        <v>1.30067</v>
      </c>
      <c r="AA70" s="213">
        <v>0.95221</v>
      </c>
    </row>
    <row r="71" spans="1:27" x14ac:dyDescent="0.2">
      <c r="A71" s="25">
        <v>220</v>
      </c>
      <c r="B71" s="26">
        <v>395.4</v>
      </c>
      <c r="C71" s="27">
        <v>370.2</v>
      </c>
      <c r="D71" s="28">
        <v>830.2</v>
      </c>
      <c r="E71" s="28">
        <v>1200.4000000000001</v>
      </c>
      <c r="F71" s="22">
        <v>1.857E-2</v>
      </c>
      <c r="G71" s="29">
        <v>1.96</v>
      </c>
      <c r="L71" s="224">
        <v>67</v>
      </c>
      <c r="M71" s="217">
        <v>313.47300000000001</v>
      </c>
      <c r="N71" s="217">
        <v>283.41699999999997</v>
      </c>
      <c r="O71" s="217">
        <v>900.10500000000002</v>
      </c>
      <c r="P71" s="217">
        <v>1183.52</v>
      </c>
      <c r="Q71" s="217">
        <v>0.186366</v>
      </c>
      <c r="R71" s="217">
        <v>5.3657700000000004</v>
      </c>
      <c r="S71" s="217">
        <v>0.45532499999999998</v>
      </c>
      <c r="T71" s="217">
        <v>1.16421</v>
      </c>
      <c r="U71" s="217">
        <v>1.61954</v>
      </c>
      <c r="V71" s="217">
        <v>0.42610399999999998</v>
      </c>
      <c r="W71" s="217">
        <v>0.585816</v>
      </c>
      <c r="X71" s="217">
        <v>1624.82</v>
      </c>
      <c r="Y71" s="218">
        <v>9.5498800000000001E-6</v>
      </c>
      <c r="Z71" s="217">
        <v>1.30053</v>
      </c>
      <c r="AA71" s="216">
        <v>0.95182</v>
      </c>
    </row>
    <row r="72" spans="1:27" x14ac:dyDescent="0.2">
      <c r="A72" s="25">
        <v>225</v>
      </c>
      <c r="B72" s="26">
        <v>397.3</v>
      </c>
      <c r="C72" s="27">
        <v>372.2</v>
      </c>
      <c r="D72" s="28">
        <v>828.5</v>
      </c>
      <c r="E72" s="28">
        <v>1200.7</v>
      </c>
      <c r="F72" s="22">
        <v>1.8599999999999998E-2</v>
      </c>
      <c r="G72" s="29">
        <v>1.92</v>
      </c>
      <c r="L72" s="223">
        <v>68</v>
      </c>
      <c r="M72" s="214">
        <v>314.31900000000002</v>
      </c>
      <c r="N72" s="214">
        <v>284.29300000000001</v>
      </c>
      <c r="O72" s="214">
        <v>899.45799999999997</v>
      </c>
      <c r="P72" s="214">
        <v>1183.75</v>
      </c>
      <c r="Q72" s="214">
        <v>0.18851899999999999</v>
      </c>
      <c r="R72" s="214">
        <v>5.3045200000000001</v>
      </c>
      <c r="S72" s="214">
        <v>0.456453</v>
      </c>
      <c r="T72" s="214">
        <v>1.16211</v>
      </c>
      <c r="U72" s="214">
        <v>1.61856</v>
      </c>
      <c r="V72" s="214">
        <v>0.426728</v>
      </c>
      <c r="W72" s="214">
        <v>0.58689599999999997</v>
      </c>
      <c r="X72" s="214">
        <v>1625.28</v>
      </c>
      <c r="Y72" s="215">
        <v>9.5607699999999996E-6</v>
      </c>
      <c r="Z72" s="214">
        <v>1.3003800000000001</v>
      </c>
      <c r="AA72" s="213">
        <v>0.95143</v>
      </c>
    </row>
    <row r="73" spans="1:27" x14ac:dyDescent="0.2">
      <c r="A73" s="25">
        <v>230</v>
      </c>
      <c r="B73" s="26">
        <v>399.1</v>
      </c>
      <c r="C73" s="27">
        <v>374.1</v>
      </c>
      <c r="D73" s="28">
        <v>826.7</v>
      </c>
      <c r="E73" s="28">
        <v>1200.8</v>
      </c>
      <c r="F73" s="22">
        <v>1.8630000000000001E-2</v>
      </c>
      <c r="G73" s="29">
        <v>1.8819999999999999</v>
      </c>
      <c r="L73" s="224">
        <v>69</v>
      </c>
      <c r="M73" s="217">
        <v>315.15699999999998</v>
      </c>
      <c r="N73" s="217">
        <v>285.16000000000003</v>
      </c>
      <c r="O73" s="217">
        <v>898.81700000000001</v>
      </c>
      <c r="P73" s="217">
        <v>1183.98</v>
      </c>
      <c r="Q73" s="217">
        <v>0.19067000000000001</v>
      </c>
      <c r="R73" s="217">
        <v>5.2446700000000002</v>
      </c>
      <c r="S73" s="217">
        <v>0.457569</v>
      </c>
      <c r="T73" s="217">
        <v>1.1600200000000001</v>
      </c>
      <c r="U73" s="217">
        <v>1.6175900000000001</v>
      </c>
      <c r="V73" s="217">
        <v>0.42734899999999998</v>
      </c>
      <c r="W73" s="217">
        <v>0.58797200000000005</v>
      </c>
      <c r="X73" s="217">
        <v>1625.73</v>
      </c>
      <c r="Y73" s="218">
        <v>9.5715499999999999E-6</v>
      </c>
      <c r="Z73" s="217">
        <v>1.3002400000000001</v>
      </c>
      <c r="AA73" s="216">
        <v>0.95104299999999997</v>
      </c>
    </row>
    <row r="74" spans="1:27" x14ac:dyDescent="0.2">
      <c r="A74" s="25">
        <v>235</v>
      </c>
      <c r="B74" s="26">
        <v>400.9</v>
      </c>
      <c r="C74" s="27">
        <v>376</v>
      </c>
      <c r="D74" s="28">
        <v>825.1</v>
      </c>
      <c r="E74" s="28">
        <v>1201.0999999999999</v>
      </c>
      <c r="F74" s="22">
        <v>1.865E-2</v>
      </c>
      <c r="G74" s="29">
        <v>1.845</v>
      </c>
      <c r="L74" s="223">
        <v>70</v>
      </c>
      <c r="M74" s="214">
        <v>315.98700000000002</v>
      </c>
      <c r="N74" s="214">
        <v>286.02</v>
      </c>
      <c r="O74" s="214">
        <v>898.18100000000004</v>
      </c>
      <c r="P74" s="214">
        <v>1184.2</v>
      </c>
      <c r="Q74" s="214">
        <v>0.19281999999999999</v>
      </c>
      <c r="R74" s="214">
        <v>5.1862000000000004</v>
      </c>
      <c r="S74" s="214">
        <v>0.458673</v>
      </c>
      <c r="T74" s="214">
        <v>1.1579600000000001</v>
      </c>
      <c r="U74" s="214">
        <v>1.61663</v>
      </c>
      <c r="V74" s="214">
        <v>0.42796600000000001</v>
      </c>
      <c r="W74" s="214">
        <v>0.58904299999999998</v>
      </c>
      <c r="X74" s="214">
        <v>1626.17</v>
      </c>
      <c r="Y74" s="215">
        <v>9.5822400000000006E-6</v>
      </c>
      <c r="Z74" s="214">
        <v>1.3001</v>
      </c>
      <c r="AA74" s="213">
        <v>0.95065599999999995</v>
      </c>
    </row>
    <row r="75" spans="1:27" x14ac:dyDescent="0.2">
      <c r="A75" s="25">
        <v>240</v>
      </c>
      <c r="B75" s="26">
        <v>402.6</v>
      </c>
      <c r="C75" s="27">
        <v>377.9</v>
      </c>
      <c r="D75" s="28">
        <v>823.4</v>
      </c>
      <c r="E75" s="28">
        <v>1201.3</v>
      </c>
      <c r="F75" s="22">
        <v>1.8679999999999999E-2</v>
      </c>
      <c r="G75" s="29">
        <v>1.81</v>
      </c>
      <c r="L75" s="224">
        <v>71</v>
      </c>
      <c r="M75" s="217">
        <v>316.80900000000003</v>
      </c>
      <c r="N75" s="217">
        <v>286.87200000000001</v>
      </c>
      <c r="O75" s="217">
        <v>897.54899999999998</v>
      </c>
      <c r="P75" s="217">
        <v>1184.42</v>
      </c>
      <c r="Q75" s="217">
        <v>0.194968</v>
      </c>
      <c r="R75" s="217">
        <v>5.1290300000000002</v>
      </c>
      <c r="S75" s="217">
        <v>0.45976699999999998</v>
      </c>
      <c r="T75" s="217">
        <v>1.1559200000000001</v>
      </c>
      <c r="U75" s="217">
        <v>1.6156900000000001</v>
      </c>
      <c r="V75" s="217">
        <v>0.42858000000000002</v>
      </c>
      <c r="W75" s="217">
        <v>0.59011100000000005</v>
      </c>
      <c r="X75" s="217">
        <v>1626.6</v>
      </c>
      <c r="Y75" s="218">
        <v>9.5928200000000004E-6</v>
      </c>
      <c r="Z75" s="217">
        <v>1.29996</v>
      </c>
      <c r="AA75" s="216">
        <v>0.95027200000000001</v>
      </c>
    </row>
    <row r="76" spans="1:27" ht="13.5" thickBot="1" x14ac:dyDescent="0.25">
      <c r="A76" s="38">
        <v>245</v>
      </c>
      <c r="B76" s="33">
        <v>404.3</v>
      </c>
      <c r="C76" s="34">
        <v>379.8</v>
      </c>
      <c r="D76" s="35">
        <v>821.7</v>
      </c>
      <c r="E76" s="35">
        <v>1201.5</v>
      </c>
      <c r="F76" s="36">
        <v>1.8700000000000001E-2</v>
      </c>
      <c r="G76" s="39">
        <v>1.776</v>
      </c>
      <c r="L76" s="223">
        <v>72</v>
      </c>
      <c r="M76" s="214">
        <v>317.62299999999999</v>
      </c>
      <c r="N76" s="214">
        <v>287.71600000000001</v>
      </c>
      <c r="O76" s="214">
        <v>896.92200000000003</v>
      </c>
      <c r="P76" s="214">
        <v>1184.6400000000001</v>
      </c>
      <c r="Q76" s="214">
        <v>0.19711600000000001</v>
      </c>
      <c r="R76" s="214">
        <v>5.07315</v>
      </c>
      <c r="S76" s="214">
        <v>0.46084900000000001</v>
      </c>
      <c r="T76" s="214">
        <v>1.1538999999999999</v>
      </c>
      <c r="U76" s="214">
        <v>1.6147499999999999</v>
      </c>
      <c r="V76" s="214">
        <v>0.42919000000000002</v>
      </c>
      <c r="W76" s="214">
        <v>0.59117399999999998</v>
      </c>
      <c r="X76" s="214">
        <v>1627.03</v>
      </c>
      <c r="Y76" s="215">
        <v>9.6033E-6</v>
      </c>
      <c r="Z76" s="214">
        <v>1.29982</v>
      </c>
      <c r="AA76" s="213">
        <v>0.94988899999999998</v>
      </c>
    </row>
    <row r="77" spans="1:27" x14ac:dyDescent="0.2">
      <c r="A77" s="25">
        <v>250</v>
      </c>
      <c r="B77" s="26">
        <v>406</v>
      </c>
      <c r="C77" s="27">
        <v>381.6</v>
      </c>
      <c r="D77" s="28">
        <v>820.1</v>
      </c>
      <c r="E77" s="28">
        <v>1201.7</v>
      </c>
      <c r="F77" s="22">
        <v>1.873E-2</v>
      </c>
      <c r="G77" s="29">
        <v>1.744</v>
      </c>
      <c r="L77" s="224">
        <v>73</v>
      </c>
      <c r="M77" s="217">
        <v>318.43</v>
      </c>
      <c r="N77" s="217">
        <v>288.553</v>
      </c>
      <c r="O77" s="217">
        <v>896.29899999999998</v>
      </c>
      <c r="P77" s="217">
        <v>1184.8499999999999</v>
      </c>
      <c r="Q77" s="217">
        <v>0.199263</v>
      </c>
      <c r="R77" s="217">
        <v>5.0184899999999999</v>
      </c>
      <c r="S77" s="217">
        <v>0.46192100000000003</v>
      </c>
      <c r="T77" s="217">
        <v>1.15191</v>
      </c>
      <c r="U77" s="217">
        <v>1.6138300000000001</v>
      </c>
      <c r="V77" s="217">
        <v>0.42979699999999998</v>
      </c>
      <c r="W77" s="217">
        <v>0.59223300000000001</v>
      </c>
      <c r="X77" s="217">
        <v>1627.45</v>
      </c>
      <c r="Y77" s="218">
        <v>9.6136900000000001E-6</v>
      </c>
      <c r="Z77" s="217">
        <v>1.2996799999999999</v>
      </c>
      <c r="AA77" s="216">
        <v>0.94950699999999999</v>
      </c>
    </row>
    <row r="78" spans="1:27" x14ac:dyDescent="0.2">
      <c r="A78" s="25">
        <v>255</v>
      </c>
      <c r="B78" s="26">
        <v>407.7</v>
      </c>
      <c r="C78" s="27">
        <v>383.5</v>
      </c>
      <c r="D78" s="28">
        <v>818.4</v>
      </c>
      <c r="E78" s="28">
        <v>1201.9000000000001</v>
      </c>
      <c r="F78" s="22">
        <v>1.8749999999999999E-2</v>
      </c>
      <c r="G78" s="29">
        <v>1.712</v>
      </c>
      <c r="L78" s="223">
        <v>74</v>
      </c>
      <c r="M78" s="214">
        <v>319.23</v>
      </c>
      <c r="N78" s="214">
        <v>289.38200000000001</v>
      </c>
      <c r="O78" s="214">
        <v>895.68100000000004</v>
      </c>
      <c r="P78" s="214">
        <v>1185.06</v>
      </c>
      <c r="Q78" s="214">
        <v>0.201409</v>
      </c>
      <c r="R78" s="214">
        <v>4.96502</v>
      </c>
      <c r="S78" s="214">
        <v>0.46298299999999998</v>
      </c>
      <c r="T78" s="214">
        <v>1.1499299999999999</v>
      </c>
      <c r="U78" s="214">
        <v>1.6129100000000001</v>
      </c>
      <c r="V78" s="214">
        <v>0.43040099999999998</v>
      </c>
      <c r="W78" s="214">
        <v>0.59328899999999996</v>
      </c>
      <c r="X78" s="214">
        <v>1627.87</v>
      </c>
      <c r="Y78" s="215">
        <v>9.62398E-6</v>
      </c>
      <c r="Z78" s="214">
        <v>1.2995399999999999</v>
      </c>
      <c r="AA78" s="213">
        <v>0.94912700000000005</v>
      </c>
    </row>
    <row r="79" spans="1:27" x14ac:dyDescent="0.2">
      <c r="A79" s="25">
        <v>260</v>
      </c>
      <c r="B79" s="26">
        <v>409.4</v>
      </c>
      <c r="C79" s="27">
        <v>385.3</v>
      </c>
      <c r="D79" s="28">
        <v>816.8</v>
      </c>
      <c r="E79" s="28">
        <v>1202.0999999999999</v>
      </c>
      <c r="F79" s="22">
        <v>1.8780000000000002E-2</v>
      </c>
      <c r="G79" s="29">
        <v>1.6819999999999999</v>
      </c>
      <c r="L79" s="224">
        <v>75</v>
      </c>
      <c r="M79" s="217">
        <v>320.02300000000002</v>
      </c>
      <c r="N79" s="217">
        <v>290.20499999999998</v>
      </c>
      <c r="O79" s="217">
        <v>895.06799999999998</v>
      </c>
      <c r="P79" s="217">
        <v>1185.27</v>
      </c>
      <c r="Q79" s="217">
        <v>0.20355400000000001</v>
      </c>
      <c r="R79" s="217">
        <v>4.9127000000000001</v>
      </c>
      <c r="S79" s="217">
        <v>0.464034</v>
      </c>
      <c r="T79" s="217">
        <v>1.1479699999999999</v>
      </c>
      <c r="U79" s="217">
        <v>1.6120099999999999</v>
      </c>
      <c r="V79" s="217">
        <v>0.431002</v>
      </c>
      <c r="W79" s="217">
        <v>0.59433999999999998</v>
      </c>
      <c r="X79" s="217">
        <v>1628.27</v>
      </c>
      <c r="Y79" s="218">
        <v>9.6341800000000003E-6</v>
      </c>
      <c r="Z79" s="217">
        <v>1.2994000000000001</v>
      </c>
      <c r="AA79" s="216">
        <v>0.94874899999999995</v>
      </c>
    </row>
    <row r="80" spans="1:27" x14ac:dyDescent="0.2">
      <c r="A80" s="25">
        <v>265</v>
      </c>
      <c r="B80" s="26">
        <v>411</v>
      </c>
      <c r="C80" s="27">
        <v>387</v>
      </c>
      <c r="D80" s="28">
        <v>815.2</v>
      </c>
      <c r="E80" s="28">
        <v>1202.2</v>
      </c>
      <c r="F80" s="22">
        <v>1.8800000000000001E-2</v>
      </c>
      <c r="G80" s="29">
        <v>1.6519999999999999</v>
      </c>
      <c r="L80" s="223">
        <v>76</v>
      </c>
      <c r="M80" s="214">
        <v>320.80799999999999</v>
      </c>
      <c r="N80" s="214">
        <v>291.02</v>
      </c>
      <c r="O80" s="214">
        <v>894.45799999999997</v>
      </c>
      <c r="P80" s="214">
        <v>1185.48</v>
      </c>
      <c r="Q80" s="214">
        <v>0.20569799999999999</v>
      </c>
      <c r="R80" s="214">
        <v>4.8614899999999999</v>
      </c>
      <c r="S80" s="214">
        <v>0.46507399999999999</v>
      </c>
      <c r="T80" s="214">
        <v>1.1460399999999999</v>
      </c>
      <c r="U80" s="214">
        <v>1.61111</v>
      </c>
      <c r="V80" s="214">
        <v>0.43159999999999998</v>
      </c>
      <c r="W80" s="214">
        <v>0.595387</v>
      </c>
      <c r="X80" s="214">
        <v>1628.68</v>
      </c>
      <c r="Y80" s="215">
        <v>9.6442899999999994E-6</v>
      </c>
      <c r="Z80" s="214">
        <v>1.2992699999999999</v>
      </c>
      <c r="AA80" s="213">
        <v>0.94837199999999999</v>
      </c>
    </row>
    <row r="81" spans="1:27" x14ac:dyDescent="0.2">
      <c r="A81" s="25">
        <v>270</v>
      </c>
      <c r="B81" s="26">
        <v>412.6</v>
      </c>
      <c r="C81" s="27">
        <v>388.8</v>
      </c>
      <c r="D81" s="28">
        <v>813.7</v>
      </c>
      <c r="E81" s="28">
        <v>1202.5</v>
      </c>
      <c r="F81" s="22">
        <v>1.882E-2</v>
      </c>
      <c r="G81" s="29">
        <v>1.6240000000000001</v>
      </c>
      <c r="L81" s="224">
        <v>77</v>
      </c>
      <c r="M81" s="217">
        <v>321.58699999999999</v>
      </c>
      <c r="N81" s="217">
        <v>291.82799999999997</v>
      </c>
      <c r="O81" s="217">
        <v>893.85299999999995</v>
      </c>
      <c r="P81" s="217">
        <v>1185.68</v>
      </c>
      <c r="Q81" s="217">
        <v>0.207841</v>
      </c>
      <c r="R81" s="217">
        <v>4.8113700000000001</v>
      </c>
      <c r="S81" s="217">
        <v>0.46610600000000002</v>
      </c>
      <c r="T81" s="217">
        <v>1.14412</v>
      </c>
      <c r="U81" s="217">
        <v>1.6102300000000001</v>
      </c>
      <c r="V81" s="217">
        <v>0.432195</v>
      </c>
      <c r="W81" s="217">
        <v>0.59643100000000004</v>
      </c>
      <c r="X81" s="217">
        <v>1629.07</v>
      </c>
      <c r="Y81" s="218">
        <v>9.6543E-6</v>
      </c>
      <c r="Z81" s="217">
        <v>1.2991299999999999</v>
      </c>
      <c r="AA81" s="216">
        <v>0.94799599999999995</v>
      </c>
    </row>
    <row r="82" spans="1:27" x14ac:dyDescent="0.2">
      <c r="A82" s="25">
        <v>275</v>
      </c>
      <c r="B82" s="26">
        <v>414.2</v>
      </c>
      <c r="C82" s="27">
        <v>390.5</v>
      </c>
      <c r="D82" s="28">
        <v>812.1</v>
      </c>
      <c r="E82" s="28">
        <v>1202.5999999999999</v>
      </c>
      <c r="F82" s="22">
        <v>1.8849999999999999E-2</v>
      </c>
      <c r="G82" s="29">
        <v>1.5960000000000001</v>
      </c>
      <c r="L82" s="223">
        <v>78</v>
      </c>
      <c r="M82" s="214">
        <v>322.35899999999998</v>
      </c>
      <c r="N82" s="214">
        <v>292.63</v>
      </c>
      <c r="O82" s="214">
        <v>893.25199999999995</v>
      </c>
      <c r="P82" s="214">
        <v>1185.8800000000001</v>
      </c>
      <c r="Q82" s="214">
        <v>0.209983</v>
      </c>
      <c r="R82" s="214">
        <v>4.7622900000000001</v>
      </c>
      <c r="S82" s="214">
        <v>0.46712700000000001</v>
      </c>
      <c r="T82" s="214">
        <v>1.14222</v>
      </c>
      <c r="U82" s="214">
        <v>1.6093500000000001</v>
      </c>
      <c r="V82" s="214">
        <v>0.43278699999999998</v>
      </c>
      <c r="W82" s="214">
        <v>0.59747099999999997</v>
      </c>
      <c r="X82" s="214">
        <v>1629.46</v>
      </c>
      <c r="Y82" s="215">
        <v>9.6642400000000008E-6</v>
      </c>
      <c r="Z82" s="214">
        <v>1.2989999999999999</v>
      </c>
      <c r="AA82" s="213">
        <v>0.94762199999999996</v>
      </c>
    </row>
    <row r="83" spans="1:27" ht="13.5" thickBot="1" x14ac:dyDescent="0.25">
      <c r="A83" s="25">
        <v>280</v>
      </c>
      <c r="B83" s="26">
        <v>415.7</v>
      </c>
      <c r="C83" s="27">
        <v>392.2</v>
      </c>
      <c r="D83" s="28">
        <v>810.5</v>
      </c>
      <c r="E83" s="28">
        <v>1202.7</v>
      </c>
      <c r="F83" s="22">
        <v>1.8870000000000001E-2</v>
      </c>
      <c r="G83" s="29">
        <v>1.57</v>
      </c>
      <c r="L83" s="225">
        <v>79</v>
      </c>
      <c r="M83" s="226">
        <v>323.12400000000002</v>
      </c>
      <c r="N83" s="226">
        <v>293.42500000000001</v>
      </c>
      <c r="O83" s="226">
        <v>892.65499999999997</v>
      </c>
      <c r="P83" s="226">
        <v>1186.08</v>
      </c>
      <c r="Q83" s="226">
        <v>0.21212400000000001</v>
      </c>
      <c r="R83" s="226">
        <v>4.7142099999999996</v>
      </c>
      <c r="S83" s="226">
        <v>0.46813900000000003</v>
      </c>
      <c r="T83" s="226">
        <v>1.1403399999999999</v>
      </c>
      <c r="U83" s="226">
        <v>1.6084799999999999</v>
      </c>
      <c r="V83" s="226">
        <v>0.43337599999999998</v>
      </c>
      <c r="W83" s="226">
        <v>0.59850700000000001</v>
      </c>
      <c r="X83" s="226">
        <v>1629.84</v>
      </c>
      <c r="Y83" s="227">
        <v>9.6740799999999997E-6</v>
      </c>
      <c r="Z83" s="226">
        <v>1.29887</v>
      </c>
      <c r="AA83" s="228">
        <v>0.94724900000000001</v>
      </c>
    </row>
    <row r="84" spans="1:27" x14ac:dyDescent="0.2">
      <c r="A84" s="25">
        <v>285</v>
      </c>
      <c r="B84" s="26">
        <v>417.3</v>
      </c>
      <c r="C84" s="27">
        <v>393.9</v>
      </c>
      <c r="D84" s="28">
        <v>809</v>
      </c>
      <c r="E84" s="28">
        <v>1202.9000000000001</v>
      </c>
      <c r="F84" s="22">
        <v>1.8890000000000001E-2</v>
      </c>
      <c r="G84" s="29">
        <v>1.544</v>
      </c>
      <c r="L84" s="229">
        <v>80</v>
      </c>
      <c r="M84" s="230">
        <v>323.88299999999998</v>
      </c>
      <c r="N84" s="230">
        <v>294.214</v>
      </c>
      <c r="O84" s="230">
        <v>892.06200000000001</v>
      </c>
      <c r="P84" s="230">
        <v>1186.28</v>
      </c>
      <c r="Q84" s="230">
        <v>0.21426500000000001</v>
      </c>
      <c r="R84" s="230">
        <v>4.6671199999999997</v>
      </c>
      <c r="S84" s="230">
        <v>0.469142</v>
      </c>
      <c r="T84" s="230">
        <v>1.1384799999999999</v>
      </c>
      <c r="U84" s="230">
        <v>1.6076299999999999</v>
      </c>
      <c r="V84" s="230">
        <v>0.43396200000000001</v>
      </c>
      <c r="W84" s="230">
        <v>0.59953900000000004</v>
      </c>
      <c r="X84" s="230">
        <v>1630.22</v>
      </c>
      <c r="Y84" s="231">
        <v>9.6838500000000005E-6</v>
      </c>
      <c r="Z84" s="230">
        <v>1.29874</v>
      </c>
      <c r="AA84" s="232">
        <v>0.94687699999999997</v>
      </c>
    </row>
    <row r="85" spans="1:27" x14ac:dyDescent="0.2">
      <c r="A85" s="25">
        <v>290</v>
      </c>
      <c r="B85" s="26">
        <v>418.8</v>
      </c>
      <c r="C85" s="27">
        <v>395.5</v>
      </c>
      <c r="D85" s="28">
        <v>807.5</v>
      </c>
      <c r="E85" s="28">
        <v>1203</v>
      </c>
      <c r="F85" s="22">
        <v>1.891E-2</v>
      </c>
      <c r="G85" s="29">
        <v>1.52</v>
      </c>
      <c r="L85" s="224">
        <v>81</v>
      </c>
      <c r="M85" s="217">
        <v>324.63600000000002</v>
      </c>
      <c r="N85" s="217">
        <v>294.99599999999998</v>
      </c>
      <c r="O85" s="217">
        <v>891.47299999999996</v>
      </c>
      <c r="P85" s="217">
        <v>1186.47</v>
      </c>
      <c r="Q85" s="217">
        <v>0.21640400000000001</v>
      </c>
      <c r="R85" s="217">
        <v>4.6209800000000003</v>
      </c>
      <c r="S85" s="217">
        <v>0.470136</v>
      </c>
      <c r="T85" s="217">
        <v>1.1366400000000001</v>
      </c>
      <c r="U85" s="217">
        <v>1.6067800000000001</v>
      </c>
      <c r="V85" s="217">
        <v>0.43454500000000001</v>
      </c>
      <c r="W85" s="217">
        <v>0.60056799999999999</v>
      </c>
      <c r="X85" s="217">
        <v>1630.59</v>
      </c>
      <c r="Y85" s="218">
        <v>9.69353E-6</v>
      </c>
      <c r="Z85" s="217">
        <v>1.29861</v>
      </c>
      <c r="AA85" s="216">
        <v>0.94650699999999999</v>
      </c>
    </row>
    <row r="86" spans="1:27" ht="13.5" thickBot="1" x14ac:dyDescent="0.25">
      <c r="A86" s="38">
        <v>295</v>
      </c>
      <c r="B86" s="33">
        <v>420.2</v>
      </c>
      <c r="C86" s="34">
        <v>397.2</v>
      </c>
      <c r="D86" s="35">
        <v>806</v>
      </c>
      <c r="E86" s="35">
        <v>1203.0999999999999</v>
      </c>
      <c r="F86" s="36">
        <v>1.8939999999999999E-2</v>
      </c>
      <c r="G86" s="39">
        <v>1.4970000000000001</v>
      </c>
      <c r="L86" s="223">
        <v>82</v>
      </c>
      <c r="M86" s="214">
        <v>325.38200000000001</v>
      </c>
      <c r="N86" s="214">
        <v>295.77199999999999</v>
      </c>
      <c r="O86" s="214">
        <v>890.88800000000003</v>
      </c>
      <c r="P86" s="214">
        <v>1186.6600000000001</v>
      </c>
      <c r="Q86" s="214">
        <v>0.21854299999999999</v>
      </c>
      <c r="R86" s="214">
        <v>4.5757599999999998</v>
      </c>
      <c r="S86" s="214">
        <v>0.47111999999999998</v>
      </c>
      <c r="T86" s="214">
        <v>1.1348100000000001</v>
      </c>
      <c r="U86" s="214">
        <v>1.6059300000000001</v>
      </c>
      <c r="V86" s="214">
        <v>0.43512499999999998</v>
      </c>
      <c r="W86" s="214">
        <v>0.60159300000000004</v>
      </c>
      <c r="X86" s="214">
        <v>1630.96</v>
      </c>
      <c r="Y86" s="215">
        <v>9.7031300000000007E-6</v>
      </c>
      <c r="Z86" s="214">
        <v>1.2984800000000001</v>
      </c>
      <c r="AA86" s="213">
        <v>0.94613800000000003</v>
      </c>
    </row>
    <row r="87" spans="1:27" x14ac:dyDescent="0.2">
      <c r="A87" s="25">
        <v>300</v>
      </c>
      <c r="B87" s="26">
        <v>421.7</v>
      </c>
      <c r="C87" s="27">
        <v>398.8</v>
      </c>
      <c r="D87" s="28">
        <v>804.5</v>
      </c>
      <c r="E87" s="28">
        <v>1203.3</v>
      </c>
      <c r="F87" s="22">
        <v>1.8960000000000001E-2</v>
      </c>
      <c r="G87" s="29">
        <v>1.4730000000000001</v>
      </c>
      <c r="L87" s="224">
        <v>83</v>
      </c>
      <c r="M87" s="217">
        <v>326.12200000000001</v>
      </c>
      <c r="N87" s="217">
        <v>296.54199999999997</v>
      </c>
      <c r="O87" s="217">
        <v>890.30700000000002</v>
      </c>
      <c r="P87" s="217">
        <v>1186.8499999999999</v>
      </c>
      <c r="Q87" s="217">
        <v>0.22068099999999999</v>
      </c>
      <c r="R87" s="217">
        <v>4.5314300000000003</v>
      </c>
      <c r="S87" s="217">
        <v>0.47209699999999999</v>
      </c>
      <c r="T87" s="217">
        <v>1.1330100000000001</v>
      </c>
      <c r="U87" s="217">
        <v>1.6051</v>
      </c>
      <c r="V87" s="217">
        <v>0.43570199999999998</v>
      </c>
      <c r="W87" s="217">
        <v>0.60261399999999998</v>
      </c>
      <c r="X87" s="217">
        <v>1631.32</v>
      </c>
      <c r="Y87" s="218">
        <v>9.7126499999999992E-6</v>
      </c>
      <c r="Z87" s="217">
        <v>1.2983499999999999</v>
      </c>
      <c r="AA87" s="216">
        <v>0.94577100000000003</v>
      </c>
    </row>
    <row r="88" spans="1:27" x14ac:dyDescent="0.2">
      <c r="A88" s="25">
        <v>310</v>
      </c>
      <c r="B88" s="26">
        <v>424.6</v>
      </c>
      <c r="C88" s="27">
        <v>402</v>
      </c>
      <c r="D88" s="28">
        <v>801.5</v>
      </c>
      <c r="E88" s="28">
        <v>1203.5</v>
      </c>
      <c r="F88" s="22">
        <v>1.9009999999999999E-2</v>
      </c>
      <c r="G88" s="29">
        <v>1.4279999999999999</v>
      </c>
      <c r="L88" s="223">
        <v>84</v>
      </c>
      <c r="M88" s="214">
        <v>326.85700000000003</v>
      </c>
      <c r="N88" s="214">
        <v>297.30599999999998</v>
      </c>
      <c r="O88" s="214">
        <v>889.72900000000004</v>
      </c>
      <c r="P88" s="214">
        <v>1187.04</v>
      </c>
      <c r="Q88" s="214">
        <v>0.22281799999999999</v>
      </c>
      <c r="R88" s="214">
        <v>4.4879699999999998</v>
      </c>
      <c r="S88" s="214">
        <v>0.47306399999999998</v>
      </c>
      <c r="T88" s="214">
        <v>1.13121</v>
      </c>
      <c r="U88" s="214">
        <v>1.6042799999999999</v>
      </c>
      <c r="V88" s="214">
        <v>0.436276</v>
      </c>
      <c r="W88" s="214">
        <v>0.60363199999999995</v>
      </c>
      <c r="X88" s="214">
        <v>1631.68</v>
      </c>
      <c r="Y88" s="215">
        <v>9.7220900000000006E-6</v>
      </c>
      <c r="Z88" s="214">
        <v>1.2982199999999999</v>
      </c>
      <c r="AA88" s="213">
        <v>0.94540400000000002</v>
      </c>
    </row>
    <row r="89" spans="1:27" x14ac:dyDescent="0.2">
      <c r="A89" s="25">
        <v>320</v>
      </c>
      <c r="B89" s="26">
        <v>427.5</v>
      </c>
      <c r="C89" s="27">
        <v>405.1</v>
      </c>
      <c r="D89" s="28">
        <v>798.6</v>
      </c>
      <c r="E89" s="28">
        <v>1203.7</v>
      </c>
      <c r="F89" s="22">
        <v>1.9060000000000001E-2</v>
      </c>
      <c r="G89" s="29">
        <v>1.3859999999999999</v>
      </c>
      <c r="L89" s="224">
        <v>85</v>
      </c>
      <c r="M89" s="217">
        <v>327.58499999999998</v>
      </c>
      <c r="N89" s="217">
        <v>298.06400000000002</v>
      </c>
      <c r="O89" s="217">
        <v>889.15499999999997</v>
      </c>
      <c r="P89" s="217">
        <v>1187.22</v>
      </c>
      <c r="Q89" s="217">
        <v>0.22495399999999999</v>
      </c>
      <c r="R89" s="217">
        <v>4.4453500000000004</v>
      </c>
      <c r="S89" s="217">
        <v>0.47402300000000003</v>
      </c>
      <c r="T89" s="217">
        <v>1.12944</v>
      </c>
      <c r="U89" s="217">
        <v>1.6034600000000001</v>
      </c>
      <c r="V89" s="217">
        <v>0.43684800000000001</v>
      </c>
      <c r="W89" s="217">
        <v>0.60464700000000005</v>
      </c>
      <c r="X89" s="217">
        <v>1632.03</v>
      </c>
      <c r="Y89" s="218">
        <v>9.7314600000000005E-6</v>
      </c>
      <c r="Z89" s="217">
        <v>1.2981</v>
      </c>
      <c r="AA89" s="216">
        <v>0.94503899999999996</v>
      </c>
    </row>
    <row r="90" spans="1:27" x14ac:dyDescent="0.2">
      <c r="A90" s="25">
        <v>330</v>
      </c>
      <c r="B90" s="26">
        <v>430.3</v>
      </c>
      <c r="C90" s="27">
        <v>408.2</v>
      </c>
      <c r="D90" s="28">
        <v>795.7</v>
      </c>
      <c r="E90" s="28">
        <v>1203.9000000000001</v>
      </c>
      <c r="F90" s="22">
        <v>1.9099999999999999E-2</v>
      </c>
      <c r="G90" s="29">
        <v>1.3460000000000001</v>
      </c>
      <c r="L90" s="223">
        <v>86</v>
      </c>
      <c r="M90" s="214">
        <v>328.30700000000002</v>
      </c>
      <c r="N90" s="214">
        <v>298.81599999999997</v>
      </c>
      <c r="O90" s="214">
        <v>888.58399999999995</v>
      </c>
      <c r="P90" s="214">
        <v>1187.4000000000001</v>
      </c>
      <c r="Q90" s="214">
        <v>0.22708999999999999</v>
      </c>
      <c r="R90" s="214">
        <v>4.4035500000000001</v>
      </c>
      <c r="S90" s="214">
        <v>0.47497400000000001</v>
      </c>
      <c r="T90" s="214">
        <v>1.12768</v>
      </c>
      <c r="U90" s="214">
        <v>1.6026499999999999</v>
      </c>
      <c r="V90" s="214">
        <v>0.437417</v>
      </c>
      <c r="W90" s="214">
        <v>0.60565800000000003</v>
      </c>
      <c r="X90" s="214">
        <v>1632.37</v>
      </c>
      <c r="Y90" s="215">
        <v>9.7407499999999999E-6</v>
      </c>
      <c r="Z90" s="214">
        <v>1.2979700000000001</v>
      </c>
      <c r="AA90" s="213">
        <v>0.94467599999999996</v>
      </c>
    </row>
    <row r="91" spans="1:27" ht="13.5" thickBot="1" x14ac:dyDescent="0.25">
      <c r="A91" s="38">
        <v>340</v>
      </c>
      <c r="B91" s="33">
        <v>433</v>
      </c>
      <c r="C91" s="34">
        <v>411.2</v>
      </c>
      <c r="D91" s="35">
        <v>792.8</v>
      </c>
      <c r="E91" s="35">
        <v>1204</v>
      </c>
      <c r="F91" s="36">
        <v>1.915E-2</v>
      </c>
      <c r="G91" s="39">
        <v>1.3089999999999999</v>
      </c>
      <c r="L91" s="224">
        <v>87</v>
      </c>
      <c r="M91" s="217">
        <v>329.024</v>
      </c>
      <c r="N91" s="217">
        <v>299.56299999999999</v>
      </c>
      <c r="O91" s="217">
        <v>888.01700000000005</v>
      </c>
      <c r="P91" s="217">
        <v>1187.58</v>
      </c>
      <c r="Q91" s="217">
        <v>0.22922400000000001</v>
      </c>
      <c r="R91" s="217">
        <v>4.3625400000000001</v>
      </c>
      <c r="S91" s="217">
        <v>0.47591699999999998</v>
      </c>
      <c r="T91" s="217">
        <v>1.1259300000000001</v>
      </c>
      <c r="U91" s="217">
        <v>1.60185</v>
      </c>
      <c r="V91" s="217">
        <v>0.43798300000000001</v>
      </c>
      <c r="W91" s="217">
        <v>0.60666600000000004</v>
      </c>
      <c r="X91" s="217">
        <v>1632.71</v>
      </c>
      <c r="Y91" s="218">
        <v>9.7499699999999994E-6</v>
      </c>
      <c r="Z91" s="217">
        <v>1.2978499999999999</v>
      </c>
      <c r="AA91" s="216">
        <v>0.94431299999999996</v>
      </c>
    </row>
    <row r="92" spans="1:27" x14ac:dyDescent="0.2">
      <c r="A92" s="25">
        <v>350</v>
      </c>
      <c r="B92" s="26">
        <v>435.6</v>
      </c>
      <c r="C92" s="27">
        <v>414.2</v>
      </c>
      <c r="D92" s="28">
        <v>790</v>
      </c>
      <c r="E92" s="28">
        <v>1204.2</v>
      </c>
      <c r="F92" s="22">
        <v>1.9189999999999999E-2</v>
      </c>
      <c r="G92" s="29">
        <v>1.2729999999999999</v>
      </c>
      <c r="L92" s="223">
        <v>88</v>
      </c>
      <c r="M92" s="214">
        <v>329.73599999999999</v>
      </c>
      <c r="N92" s="214">
        <v>300.30399999999997</v>
      </c>
      <c r="O92" s="214">
        <v>887.45399999999995</v>
      </c>
      <c r="P92" s="214">
        <v>1187.76</v>
      </c>
      <c r="Q92" s="214">
        <v>0.23135800000000001</v>
      </c>
      <c r="R92" s="214">
        <v>4.3223000000000003</v>
      </c>
      <c r="S92" s="214">
        <v>0.476852</v>
      </c>
      <c r="T92" s="214">
        <v>1.1242000000000001</v>
      </c>
      <c r="U92" s="214">
        <v>1.6010599999999999</v>
      </c>
      <c r="V92" s="214">
        <v>0.43854700000000002</v>
      </c>
      <c r="W92" s="214">
        <v>0.60767000000000004</v>
      </c>
      <c r="X92" s="214">
        <v>1633.05</v>
      </c>
      <c r="Y92" s="215">
        <v>9.7591199999999992E-6</v>
      </c>
      <c r="Z92" s="214">
        <v>1.29772</v>
      </c>
      <c r="AA92" s="213">
        <v>0.94395200000000001</v>
      </c>
    </row>
    <row r="93" spans="1:27" x14ac:dyDescent="0.2">
      <c r="A93" s="25">
        <v>360</v>
      </c>
      <c r="B93" s="26">
        <v>438.2</v>
      </c>
      <c r="C93" s="27">
        <v>417.1</v>
      </c>
      <c r="D93" s="28">
        <v>787.3</v>
      </c>
      <c r="E93" s="28">
        <v>1204.3</v>
      </c>
      <c r="F93" s="22">
        <v>1.9230000000000001E-2</v>
      </c>
      <c r="G93" s="29">
        <v>1.24</v>
      </c>
      <c r="L93" s="224">
        <v>89</v>
      </c>
      <c r="M93" s="217">
        <v>330.44099999999997</v>
      </c>
      <c r="N93" s="217">
        <v>301.04000000000002</v>
      </c>
      <c r="O93" s="217">
        <v>886.89300000000003</v>
      </c>
      <c r="P93" s="217">
        <v>1187.93</v>
      </c>
      <c r="Q93" s="217">
        <v>0.233491</v>
      </c>
      <c r="R93" s="217">
        <v>4.2828099999999996</v>
      </c>
      <c r="S93" s="217">
        <v>0.47777900000000001</v>
      </c>
      <c r="T93" s="217">
        <v>1.12249</v>
      </c>
      <c r="U93" s="217">
        <v>1.6002700000000001</v>
      </c>
      <c r="V93" s="217">
        <v>0.43910700000000003</v>
      </c>
      <c r="W93" s="217">
        <v>0.60867099999999996</v>
      </c>
      <c r="X93" s="217">
        <v>1633.38</v>
      </c>
      <c r="Y93" s="218">
        <v>9.7682000000000008E-6</v>
      </c>
      <c r="Z93" s="217">
        <v>1.2976000000000001</v>
      </c>
      <c r="AA93" s="216">
        <v>0.94359199999999999</v>
      </c>
    </row>
    <row r="94" spans="1:27" x14ac:dyDescent="0.2">
      <c r="A94" s="25">
        <v>370</v>
      </c>
      <c r="B94" s="26">
        <v>440.8</v>
      </c>
      <c r="C94" s="27">
        <v>419.9</v>
      </c>
      <c r="D94" s="28">
        <v>784.5</v>
      </c>
      <c r="E94" s="28">
        <v>1204.4000000000001</v>
      </c>
      <c r="F94" s="22">
        <v>1.9269999999999999E-2</v>
      </c>
      <c r="G94" s="29">
        <v>1.2070000000000001</v>
      </c>
      <c r="L94" s="223">
        <v>90</v>
      </c>
      <c r="M94" s="214">
        <v>331.142</v>
      </c>
      <c r="N94" s="214">
        <v>301.77</v>
      </c>
      <c r="O94" s="214">
        <v>886.33699999999999</v>
      </c>
      <c r="P94" s="214">
        <v>1188.1099999999999</v>
      </c>
      <c r="Q94" s="214">
        <v>0.235624</v>
      </c>
      <c r="R94" s="214">
        <v>4.2440499999999997</v>
      </c>
      <c r="S94" s="214">
        <v>0.47869899999999999</v>
      </c>
      <c r="T94" s="214">
        <v>1.12079</v>
      </c>
      <c r="U94" s="214">
        <v>1.5994900000000001</v>
      </c>
      <c r="V94" s="214">
        <v>0.439666</v>
      </c>
      <c r="W94" s="214">
        <v>0.60966900000000002</v>
      </c>
      <c r="X94" s="214">
        <v>1633.71</v>
      </c>
      <c r="Y94" s="215">
        <v>9.7772000000000002E-6</v>
      </c>
      <c r="Z94" s="214">
        <v>1.29748</v>
      </c>
      <c r="AA94" s="213">
        <v>0.94323299999999999</v>
      </c>
    </row>
    <row r="95" spans="1:27" x14ac:dyDescent="0.2">
      <c r="A95" s="25">
        <v>380</v>
      </c>
      <c r="B95" s="26">
        <v>443.3</v>
      </c>
      <c r="C95" s="27">
        <v>422.7</v>
      </c>
      <c r="D95" s="28">
        <v>781.8</v>
      </c>
      <c r="E95" s="28">
        <v>1204.5</v>
      </c>
      <c r="F95" s="22">
        <v>1.932E-2</v>
      </c>
      <c r="G95" s="29">
        <v>1.177</v>
      </c>
      <c r="L95" s="224">
        <v>91</v>
      </c>
      <c r="M95" s="217">
        <v>331.83699999999999</v>
      </c>
      <c r="N95" s="217">
        <v>302.49400000000003</v>
      </c>
      <c r="O95" s="217">
        <v>885.78300000000002</v>
      </c>
      <c r="P95" s="217">
        <v>1188.28</v>
      </c>
      <c r="Q95" s="217">
        <v>0.237756</v>
      </c>
      <c r="R95" s="217">
        <v>4.2060000000000004</v>
      </c>
      <c r="S95" s="217">
        <v>0.47961100000000001</v>
      </c>
      <c r="T95" s="217">
        <v>1.11911</v>
      </c>
      <c r="U95" s="217">
        <v>1.5987199999999999</v>
      </c>
      <c r="V95" s="217">
        <v>0.44022099999999997</v>
      </c>
      <c r="W95" s="217">
        <v>0.61066399999999998</v>
      </c>
      <c r="X95" s="217">
        <v>1634.03</v>
      </c>
      <c r="Y95" s="218">
        <v>9.7861400000000005E-6</v>
      </c>
      <c r="Z95" s="217">
        <v>1.2973600000000001</v>
      </c>
      <c r="AA95" s="216">
        <v>0.94287500000000002</v>
      </c>
    </row>
    <row r="96" spans="1:27" ht="13.5" thickBot="1" x14ac:dyDescent="0.25">
      <c r="A96" s="38">
        <v>390</v>
      </c>
      <c r="B96" s="33">
        <v>445.7</v>
      </c>
      <c r="C96" s="34">
        <v>425.5</v>
      </c>
      <c r="D96" s="35">
        <v>779.2</v>
      </c>
      <c r="E96" s="35">
        <v>1204.5999999999999</v>
      </c>
      <c r="F96" s="36">
        <v>1.9359999999999999E-2</v>
      </c>
      <c r="G96" s="39">
        <v>1.1479999999999999</v>
      </c>
      <c r="L96" s="223">
        <v>92</v>
      </c>
      <c r="M96" s="214">
        <v>332.52699999999999</v>
      </c>
      <c r="N96" s="214">
        <v>303.214</v>
      </c>
      <c r="O96" s="214">
        <v>885.23199999999997</v>
      </c>
      <c r="P96" s="214">
        <v>1188.45</v>
      </c>
      <c r="Q96" s="214">
        <v>0.23988699999999999</v>
      </c>
      <c r="R96" s="214">
        <v>4.1686300000000003</v>
      </c>
      <c r="S96" s="214">
        <v>0.48051500000000003</v>
      </c>
      <c r="T96" s="214">
        <v>1.11744</v>
      </c>
      <c r="U96" s="214">
        <v>1.59796</v>
      </c>
      <c r="V96" s="214">
        <v>0.440774</v>
      </c>
      <c r="W96" s="214">
        <v>0.61165499999999995</v>
      </c>
      <c r="X96" s="214">
        <v>1634.34</v>
      </c>
      <c r="Y96" s="215">
        <v>9.7950099999999992E-6</v>
      </c>
      <c r="Z96" s="214">
        <v>1.2972399999999999</v>
      </c>
      <c r="AA96" s="213">
        <v>0.942519</v>
      </c>
    </row>
    <row r="97" spans="1:27" x14ac:dyDescent="0.2">
      <c r="A97" s="25">
        <v>400</v>
      </c>
      <c r="B97" s="26">
        <v>448.1</v>
      </c>
      <c r="C97" s="27">
        <v>428.2</v>
      </c>
      <c r="D97" s="28">
        <v>776.6</v>
      </c>
      <c r="E97" s="28">
        <v>1204.7</v>
      </c>
      <c r="F97" s="22">
        <v>1.9400000000000001E-2</v>
      </c>
      <c r="G97" s="29">
        <v>1.1200000000000001</v>
      </c>
      <c r="L97" s="224">
        <v>93</v>
      </c>
      <c r="M97" s="217">
        <v>333.21199999999999</v>
      </c>
      <c r="N97" s="217">
        <v>303.92899999999997</v>
      </c>
      <c r="O97" s="217">
        <v>884.68499999999995</v>
      </c>
      <c r="P97" s="217">
        <v>1188.6099999999999</v>
      </c>
      <c r="Q97" s="217">
        <v>0.24201700000000001</v>
      </c>
      <c r="R97" s="217">
        <v>4.1319400000000002</v>
      </c>
      <c r="S97" s="217">
        <v>0.48141299999999998</v>
      </c>
      <c r="T97" s="217">
        <v>1.11578</v>
      </c>
      <c r="U97" s="217">
        <v>1.5972</v>
      </c>
      <c r="V97" s="217">
        <v>0.44132500000000002</v>
      </c>
      <c r="W97" s="217">
        <v>0.61264399999999997</v>
      </c>
      <c r="X97" s="217">
        <v>1634.66</v>
      </c>
      <c r="Y97" s="218">
        <v>9.8038200000000006E-6</v>
      </c>
      <c r="Z97" s="217">
        <v>1.2971200000000001</v>
      </c>
      <c r="AA97" s="216">
        <v>0.94216299999999997</v>
      </c>
    </row>
    <row r="98" spans="1:27" ht="13.5" thickBot="1" x14ac:dyDescent="0.25">
      <c r="A98" s="38">
        <v>450</v>
      </c>
      <c r="B98" s="33">
        <v>459.5</v>
      </c>
      <c r="C98" s="34">
        <v>441</v>
      </c>
      <c r="D98" s="35">
        <v>763.8</v>
      </c>
      <c r="E98" s="35">
        <v>1204.8</v>
      </c>
      <c r="F98" s="36">
        <v>1.9609999999999999E-2</v>
      </c>
      <c r="G98" s="42">
        <v>0.99919999999999998</v>
      </c>
      <c r="L98" s="223">
        <v>94</v>
      </c>
      <c r="M98" s="214">
        <v>333.892</v>
      </c>
      <c r="N98" s="214">
        <v>304.63799999999998</v>
      </c>
      <c r="O98" s="214">
        <v>884.14099999999996</v>
      </c>
      <c r="P98" s="214">
        <v>1188.78</v>
      </c>
      <c r="Q98" s="214">
        <v>0.244147</v>
      </c>
      <c r="R98" s="214">
        <v>4.0958899999999998</v>
      </c>
      <c r="S98" s="214">
        <v>0.48230299999999998</v>
      </c>
      <c r="T98" s="214">
        <v>1.1141399999999999</v>
      </c>
      <c r="U98" s="214">
        <v>1.5964499999999999</v>
      </c>
      <c r="V98" s="214">
        <v>0.44187300000000002</v>
      </c>
      <c r="W98" s="214">
        <v>0.61362899999999998</v>
      </c>
      <c r="X98" s="214">
        <v>1634.97</v>
      </c>
      <c r="Y98" s="215">
        <v>9.8125600000000005E-6</v>
      </c>
      <c r="Z98" s="214">
        <v>1.2969999999999999</v>
      </c>
      <c r="AA98" s="213">
        <v>0.94180900000000001</v>
      </c>
    </row>
    <row r="99" spans="1:27" x14ac:dyDescent="0.2">
      <c r="A99" s="25">
        <v>500</v>
      </c>
      <c r="B99" s="26">
        <v>470</v>
      </c>
      <c r="C99" s="27">
        <v>453</v>
      </c>
      <c r="D99" s="28">
        <v>751.6</v>
      </c>
      <c r="E99" s="28">
        <v>1204.5999999999999</v>
      </c>
      <c r="F99" s="22">
        <v>1.9800000000000002E-2</v>
      </c>
      <c r="G99" s="43">
        <v>0.90100000000000002</v>
      </c>
      <c r="L99" s="224">
        <v>95</v>
      </c>
      <c r="M99" s="217">
        <v>334.56700000000001</v>
      </c>
      <c r="N99" s="217">
        <v>305.34300000000002</v>
      </c>
      <c r="O99" s="217">
        <v>883.6</v>
      </c>
      <c r="P99" s="217">
        <v>1188.94</v>
      </c>
      <c r="Q99" s="217">
        <v>0.24627599999999999</v>
      </c>
      <c r="R99" s="217">
        <v>4.0604800000000001</v>
      </c>
      <c r="S99" s="217">
        <v>0.483186</v>
      </c>
      <c r="T99" s="217">
        <v>1.1125100000000001</v>
      </c>
      <c r="U99" s="217">
        <v>1.5956999999999999</v>
      </c>
      <c r="V99" s="217">
        <v>0.44241799999999998</v>
      </c>
      <c r="W99" s="217">
        <v>0.61461100000000002</v>
      </c>
      <c r="X99" s="217">
        <v>1635.27</v>
      </c>
      <c r="Y99" s="218">
        <v>9.8212300000000005E-6</v>
      </c>
      <c r="Z99" s="217">
        <v>1.29688</v>
      </c>
      <c r="AA99" s="216">
        <v>0.94145599999999996</v>
      </c>
    </row>
    <row r="100" spans="1:27" ht="13.5" thickBot="1" x14ac:dyDescent="0.25">
      <c r="A100" s="38">
        <v>550</v>
      </c>
      <c r="B100" s="33">
        <v>479.7</v>
      </c>
      <c r="C100" s="34">
        <v>464.1</v>
      </c>
      <c r="D100" s="35">
        <v>739.9</v>
      </c>
      <c r="E100" s="35">
        <v>1204.0999999999999</v>
      </c>
      <c r="F100" s="36">
        <v>0.02</v>
      </c>
      <c r="G100" s="42">
        <v>0.81950000000000001</v>
      </c>
      <c r="L100" s="223">
        <v>96</v>
      </c>
      <c r="M100" s="214">
        <v>335.23700000000002</v>
      </c>
      <c r="N100" s="214">
        <v>306.04199999999997</v>
      </c>
      <c r="O100" s="214">
        <v>883.06200000000001</v>
      </c>
      <c r="P100" s="214">
        <v>1189.0999999999999</v>
      </c>
      <c r="Q100" s="214">
        <v>0.24840499999999999</v>
      </c>
      <c r="R100" s="214">
        <v>4.02569</v>
      </c>
      <c r="S100" s="214">
        <v>0.48406300000000002</v>
      </c>
      <c r="T100" s="214">
        <v>1.1109</v>
      </c>
      <c r="U100" s="214">
        <v>1.5949599999999999</v>
      </c>
      <c r="V100" s="214">
        <v>0.44296099999999999</v>
      </c>
      <c r="W100" s="214">
        <v>0.61558999999999997</v>
      </c>
      <c r="X100" s="214">
        <v>1635.57</v>
      </c>
      <c r="Y100" s="215">
        <v>9.8298500000000004E-6</v>
      </c>
      <c r="Z100" s="214">
        <v>1.29677</v>
      </c>
      <c r="AA100" s="213">
        <v>0.94110400000000005</v>
      </c>
    </row>
    <row r="101" spans="1:27" x14ac:dyDescent="0.2">
      <c r="A101" s="25">
        <v>600</v>
      </c>
      <c r="B101" s="26">
        <v>488.8</v>
      </c>
      <c r="C101" s="27">
        <v>474.7</v>
      </c>
      <c r="D101" s="28">
        <v>728.7</v>
      </c>
      <c r="E101" s="28">
        <v>1203.4000000000001</v>
      </c>
      <c r="F101" s="22">
        <v>2.019E-2</v>
      </c>
      <c r="G101" s="43">
        <v>0.75090000000000001</v>
      </c>
      <c r="L101" s="224">
        <v>97</v>
      </c>
      <c r="M101" s="217">
        <v>335.90199999999999</v>
      </c>
      <c r="N101" s="217">
        <v>306.73700000000002</v>
      </c>
      <c r="O101" s="217">
        <v>882.52700000000004</v>
      </c>
      <c r="P101" s="217">
        <v>1189.26</v>
      </c>
      <c r="Q101" s="217">
        <v>0.25053300000000001</v>
      </c>
      <c r="R101" s="217">
        <v>3.9914999999999998</v>
      </c>
      <c r="S101" s="217">
        <v>0.48493199999999997</v>
      </c>
      <c r="T101" s="217">
        <v>1.1093</v>
      </c>
      <c r="U101" s="217">
        <v>1.59423</v>
      </c>
      <c r="V101" s="217">
        <v>0.44350200000000001</v>
      </c>
      <c r="W101" s="217">
        <v>0.61656699999999998</v>
      </c>
      <c r="X101" s="217">
        <v>1635.86</v>
      </c>
      <c r="Y101" s="218">
        <v>9.8384000000000005E-6</v>
      </c>
      <c r="Z101" s="217">
        <v>1.2966500000000001</v>
      </c>
      <c r="AA101" s="216">
        <v>0.94075299999999995</v>
      </c>
    </row>
    <row r="102" spans="1:27" ht="13.5" thickBot="1" x14ac:dyDescent="0.25">
      <c r="A102" s="38">
        <v>650</v>
      </c>
      <c r="B102" s="33">
        <v>497.3</v>
      </c>
      <c r="C102" s="34">
        <v>484.8</v>
      </c>
      <c r="D102" s="35">
        <v>717.8</v>
      </c>
      <c r="E102" s="35">
        <v>1202.5999999999999</v>
      </c>
      <c r="F102" s="36">
        <v>2.0379999999999999E-2</v>
      </c>
      <c r="G102" s="42">
        <v>0.69220000000000004</v>
      </c>
      <c r="L102" s="223">
        <v>98</v>
      </c>
      <c r="M102" s="214">
        <v>336.56200000000001</v>
      </c>
      <c r="N102" s="214">
        <v>307.42700000000002</v>
      </c>
      <c r="O102" s="214">
        <v>881.995</v>
      </c>
      <c r="P102" s="214">
        <v>1189.42</v>
      </c>
      <c r="Q102" s="214">
        <v>0.25266</v>
      </c>
      <c r="R102" s="214">
        <v>3.9578899999999999</v>
      </c>
      <c r="S102" s="214">
        <v>0.48579499999999998</v>
      </c>
      <c r="T102" s="214">
        <v>1.10771</v>
      </c>
      <c r="U102" s="214">
        <v>1.59351</v>
      </c>
      <c r="V102" s="214">
        <v>0.44403999999999999</v>
      </c>
      <c r="W102" s="214">
        <v>0.61753999999999998</v>
      </c>
      <c r="X102" s="214">
        <v>1636.15</v>
      </c>
      <c r="Y102" s="215">
        <v>9.8468899999999998E-6</v>
      </c>
      <c r="Z102" s="214">
        <v>1.29654</v>
      </c>
      <c r="AA102" s="213">
        <v>0.94040299999999999</v>
      </c>
    </row>
    <row r="103" spans="1:27" ht="13.5" thickBot="1" x14ac:dyDescent="0.25">
      <c r="A103" s="25">
        <v>700</v>
      </c>
      <c r="B103" s="26">
        <v>505.4</v>
      </c>
      <c r="C103" s="27">
        <v>494.4</v>
      </c>
      <c r="D103" s="28">
        <v>707.1</v>
      </c>
      <c r="E103" s="28">
        <v>1201.5</v>
      </c>
      <c r="F103" s="22">
        <v>2.0559999999999998E-2</v>
      </c>
      <c r="G103" s="43">
        <v>0.64149999999999996</v>
      </c>
      <c r="L103" s="225">
        <v>99</v>
      </c>
      <c r="M103" s="226">
        <v>337.21800000000002</v>
      </c>
      <c r="N103" s="226">
        <v>308.113</v>
      </c>
      <c r="O103" s="226">
        <v>881.46500000000003</v>
      </c>
      <c r="P103" s="226">
        <v>1189.58</v>
      </c>
      <c r="Q103" s="226">
        <v>0.25478600000000001</v>
      </c>
      <c r="R103" s="226">
        <v>3.9248500000000002</v>
      </c>
      <c r="S103" s="226">
        <v>0.48665199999999997</v>
      </c>
      <c r="T103" s="226">
        <v>1.1061300000000001</v>
      </c>
      <c r="U103" s="226">
        <v>1.5927899999999999</v>
      </c>
      <c r="V103" s="226">
        <v>0.44457600000000003</v>
      </c>
      <c r="W103" s="226">
        <v>0.61851</v>
      </c>
      <c r="X103" s="226">
        <v>1636.44</v>
      </c>
      <c r="Y103" s="227">
        <v>9.85532E-6</v>
      </c>
      <c r="Z103" s="226">
        <v>1.2964199999999999</v>
      </c>
      <c r="AA103" s="228">
        <v>0.94005399999999995</v>
      </c>
    </row>
    <row r="104" spans="1:27" ht="13.5" thickBot="1" x14ac:dyDescent="0.25">
      <c r="A104" s="38">
        <v>750</v>
      </c>
      <c r="B104" s="33">
        <v>513</v>
      </c>
      <c r="C104" s="34">
        <v>503.5</v>
      </c>
      <c r="D104" s="35">
        <v>696.7</v>
      </c>
      <c r="E104" s="35">
        <v>1200.3</v>
      </c>
      <c r="F104" s="36">
        <v>2.0740000000000001E-2</v>
      </c>
      <c r="G104" s="42">
        <v>0.59709999999999996</v>
      </c>
    </row>
    <row r="105" spans="1:27" ht="13.5" thickBot="1" x14ac:dyDescent="0.25">
      <c r="A105" s="38">
        <v>800</v>
      </c>
      <c r="B105" s="33">
        <v>520.29999999999995</v>
      </c>
      <c r="C105" s="34">
        <v>512.4</v>
      </c>
      <c r="D105" s="35">
        <v>686.6</v>
      </c>
      <c r="E105" s="35">
        <v>1199</v>
      </c>
      <c r="F105" s="36">
        <v>2.0920000000000001E-2</v>
      </c>
      <c r="G105" s="42">
        <v>0.55800000000000005</v>
      </c>
    </row>
    <row r="106" spans="1:27" ht="13.5" thickBot="1" x14ac:dyDescent="0.25">
      <c r="A106" s="38">
        <v>900</v>
      </c>
      <c r="B106" s="33">
        <v>533.9</v>
      </c>
      <c r="C106" s="34">
        <v>529.1</v>
      </c>
      <c r="D106" s="35">
        <v>666.8</v>
      </c>
      <c r="E106" s="35">
        <v>1196</v>
      </c>
      <c r="F106" s="36">
        <v>2.128E-2</v>
      </c>
      <c r="G106" s="42">
        <v>0.49220000000000003</v>
      </c>
    </row>
    <row r="107" spans="1:27" x14ac:dyDescent="0.2">
      <c r="A107" s="25">
        <v>1000</v>
      </c>
      <c r="B107" s="26">
        <v>546.29999999999995</v>
      </c>
      <c r="C107" s="27">
        <v>544.79999999999995</v>
      </c>
      <c r="D107" s="28">
        <v>647.6</v>
      </c>
      <c r="E107" s="28">
        <v>1192.4000000000001</v>
      </c>
      <c r="F107" s="22">
        <v>2.164E-2</v>
      </c>
      <c r="G107" s="43">
        <v>0.439</v>
      </c>
    </row>
    <row r="108" spans="1:27" x14ac:dyDescent="0.2">
      <c r="A108" s="25">
        <v>1250</v>
      </c>
      <c r="B108" s="26">
        <v>573.9</v>
      </c>
      <c r="C108" s="27">
        <v>580.79999999999995</v>
      </c>
      <c r="D108" s="28">
        <v>601.1</v>
      </c>
      <c r="E108" s="28">
        <v>1181.9000000000001</v>
      </c>
      <c r="F108" s="22">
        <v>2.256E-2</v>
      </c>
      <c r="G108" s="43">
        <v>0.34100000000000003</v>
      </c>
    </row>
    <row r="109" spans="1:27" x14ac:dyDescent="0.2">
      <c r="A109" s="25">
        <v>1500</v>
      </c>
      <c r="B109" s="26">
        <v>597.5</v>
      </c>
      <c r="C109" s="27">
        <v>613.5</v>
      </c>
      <c r="D109" s="28">
        <v>555.70000000000005</v>
      </c>
      <c r="E109" s="28">
        <v>1169.3</v>
      </c>
      <c r="F109" s="22">
        <v>2.3519999999999999E-2</v>
      </c>
      <c r="G109" s="43">
        <v>0.27400000000000002</v>
      </c>
    </row>
    <row r="110" spans="1:27" ht="13.5" thickBot="1" x14ac:dyDescent="0.25">
      <c r="A110" s="38">
        <v>1750</v>
      </c>
      <c r="B110" s="33">
        <v>618.20000000000005</v>
      </c>
      <c r="C110" s="34">
        <v>644.29999999999995</v>
      </c>
      <c r="D110" s="35">
        <v>510.3</v>
      </c>
      <c r="E110" s="35">
        <v>1154.5999999999999</v>
      </c>
      <c r="F110" s="36">
        <v>2.4559999999999998E-2</v>
      </c>
      <c r="G110" s="42">
        <v>0.2248</v>
      </c>
      <c r="J110" s="233" t="s">
        <v>220</v>
      </c>
    </row>
    <row r="111" spans="1:27" x14ac:dyDescent="0.2">
      <c r="A111" s="25">
        <v>2000</v>
      </c>
      <c r="B111" s="26">
        <v>636.79999999999995</v>
      </c>
      <c r="C111" s="27">
        <v>673.8</v>
      </c>
      <c r="D111" s="28">
        <v>463.3</v>
      </c>
      <c r="E111" s="28">
        <v>1137.2</v>
      </c>
      <c r="F111" s="22">
        <v>2.572E-2</v>
      </c>
      <c r="G111" s="43">
        <v>0.18640000000000001</v>
      </c>
    </row>
    <row r="112" spans="1:27" x14ac:dyDescent="0.2">
      <c r="A112" s="25">
        <v>2250</v>
      </c>
      <c r="B112" s="26">
        <v>653.6</v>
      </c>
      <c r="C112" s="27">
        <v>703.1</v>
      </c>
      <c r="D112" s="28">
        <v>413.3</v>
      </c>
      <c r="E112" s="28">
        <v>1116.4000000000001</v>
      </c>
      <c r="F112" s="22">
        <v>2.707E-2</v>
      </c>
      <c r="G112" s="43">
        <v>0.15540000000000001</v>
      </c>
    </row>
    <row r="113" spans="1:7" x14ac:dyDescent="0.2">
      <c r="A113" s="25">
        <v>2500</v>
      </c>
      <c r="B113" s="26">
        <v>669</v>
      </c>
      <c r="C113" s="27">
        <v>733.6</v>
      </c>
      <c r="D113" s="28">
        <v>358.1</v>
      </c>
      <c r="E113" s="28">
        <v>1091.7</v>
      </c>
      <c r="F113" s="22">
        <v>2.8709999999999999E-2</v>
      </c>
      <c r="G113" s="43">
        <v>0.1293</v>
      </c>
    </row>
    <row r="114" spans="1:7" ht="13.5" thickBot="1" x14ac:dyDescent="0.25">
      <c r="A114" s="38">
        <v>2750</v>
      </c>
      <c r="B114" s="33">
        <v>683</v>
      </c>
      <c r="C114" s="34">
        <v>766</v>
      </c>
      <c r="D114" s="35">
        <v>294.7</v>
      </c>
      <c r="E114" s="35">
        <v>1060.7</v>
      </c>
      <c r="F114" s="36">
        <v>3.0970000000000001E-2</v>
      </c>
      <c r="G114" s="42">
        <v>0.1062</v>
      </c>
    </row>
    <row r="115" spans="1:7" x14ac:dyDescent="0.2">
      <c r="A115" s="25">
        <v>3000</v>
      </c>
      <c r="B115" s="26">
        <v>696.1</v>
      </c>
      <c r="C115" s="27">
        <v>805.1</v>
      </c>
      <c r="D115" s="28">
        <v>211.2</v>
      </c>
      <c r="E115" s="28">
        <v>1016.2</v>
      </c>
      <c r="F115" s="22">
        <v>3.465E-2</v>
      </c>
      <c r="G115" s="43">
        <v>8.3500000000000005E-2</v>
      </c>
    </row>
    <row r="116" spans="1:7" ht="13.5" thickBot="1" x14ac:dyDescent="0.25">
      <c r="A116" s="38">
        <v>3193.5</v>
      </c>
      <c r="B116" s="33">
        <v>705.5</v>
      </c>
      <c r="C116" s="34">
        <v>906</v>
      </c>
      <c r="D116" s="35">
        <v>0</v>
      </c>
      <c r="E116" s="35">
        <v>906</v>
      </c>
      <c r="F116" s="36">
        <v>5.0779999999999999E-2</v>
      </c>
      <c r="G116" s="42">
        <v>5.0799999999999998E-2</v>
      </c>
    </row>
    <row r="121" spans="1:7" ht="12.75" customHeight="1" x14ac:dyDescent="0.2"/>
  </sheetData>
  <sheetProtection algorithmName="SHA-512" hashValue="LGe7O3aa2d80pDkalL7fY7SO1lKy2A5GsHI6C1DVliVMMh5PqtyfWSXrIgWuLrO4TrNhV3NDo9WgtYV2CQwaBg==" saltValue="ju0ebgspje4ITUYcqWcPNg==" spinCount="100000" sheet="1" objects="1" scenarios="1" sort="0" autoFilter="0"/>
  <mergeCells count="2">
    <mergeCell ref="A1:G1"/>
    <mergeCell ref="H1:I1"/>
  </mergeCells>
  <hyperlinks>
    <hyperlink ref="J110" r:id="rId1" xr:uid="{E94EA20B-AADA-4A30-B268-B50124DA0CC1}"/>
  </hyperlinks>
  <printOptions horizontalCentered="1" verticalCentered="1"/>
  <pageMargins left="0.25" right="0.25" top="0.25" bottom="0.25" header="0" footer="0"/>
  <pageSetup scale="90" orientation="portrait" horizontalDpi="360" verticalDpi="360" r:id="rId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O121"/>
  <sheetViews>
    <sheetView workbookViewId="0">
      <selection activeCell="E66" sqref="E66"/>
    </sheetView>
  </sheetViews>
  <sheetFormatPr defaultColWidth="9.140625" defaultRowHeight="12.75" x14ac:dyDescent="0.2"/>
  <cols>
    <col min="1" max="1" width="9.7109375" style="50" customWidth="1"/>
    <col min="2" max="2" width="8.28515625" style="50" customWidth="1"/>
    <col min="3" max="5" width="6.7109375" style="50" customWidth="1"/>
    <col min="6" max="6" width="9.28515625" style="45" customWidth="1"/>
    <col min="7" max="7" width="8.7109375" style="46" customWidth="1"/>
    <col min="8" max="8" width="2.7109375" style="1" customWidth="1"/>
    <col min="9" max="9" width="9.7109375" style="1" customWidth="1"/>
    <col min="10" max="10" width="8.28515625" style="1" customWidth="1"/>
    <col min="11" max="13" width="6.7109375" style="1" customWidth="1"/>
    <col min="14" max="14" width="9.28515625" style="45" customWidth="1"/>
    <col min="15" max="15" width="8.7109375" style="51" customWidth="1"/>
    <col min="16" max="16384" width="9.140625" style="1"/>
  </cols>
  <sheetData>
    <row r="1" spans="1:15" ht="16.5" thickBot="1" x14ac:dyDescent="0.25">
      <c r="A1" s="336" t="s">
        <v>2</v>
      </c>
      <c r="B1" s="336"/>
      <c r="C1" s="336"/>
      <c r="D1" s="336"/>
      <c r="E1" s="336"/>
      <c r="F1" s="336"/>
      <c r="G1" s="336"/>
      <c r="H1" s="336"/>
      <c r="I1" s="336"/>
      <c r="J1" s="336"/>
      <c r="K1" s="336"/>
      <c r="L1" s="336"/>
      <c r="M1" s="336"/>
      <c r="N1" s="336"/>
      <c r="O1" s="336"/>
    </row>
    <row r="2" spans="1:15" s="2" customFormat="1" ht="25.5" x14ac:dyDescent="0.2">
      <c r="A2" s="3" t="s">
        <v>0</v>
      </c>
      <c r="B2" s="4" t="s">
        <v>3</v>
      </c>
      <c r="C2" s="3" t="s">
        <v>12</v>
      </c>
      <c r="D2" s="5"/>
      <c r="E2" s="6"/>
      <c r="F2" s="7" t="s">
        <v>13</v>
      </c>
      <c r="G2" s="8"/>
      <c r="H2" s="9"/>
      <c r="I2" s="6" t="s">
        <v>0</v>
      </c>
      <c r="J2" s="4" t="s">
        <v>3</v>
      </c>
      <c r="K2" s="3" t="s">
        <v>12</v>
      </c>
      <c r="L2" s="5"/>
      <c r="M2" s="6"/>
      <c r="N2" s="7" t="s">
        <v>14</v>
      </c>
      <c r="O2" s="10"/>
    </row>
    <row r="3" spans="1:15" ht="13.5" thickBot="1" x14ac:dyDescent="0.25">
      <c r="A3" s="11"/>
      <c r="B3" s="11" t="s">
        <v>15</v>
      </c>
      <c r="C3" s="12" t="s">
        <v>6</v>
      </c>
      <c r="D3" s="13" t="s">
        <v>7</v>
      </c>
      <c r="E3" s="13" t="s">
        <v>8</v>
      </c>
      <c r="F3" s="14" t="s">
        <v>9</v>
      </c>
      <c r="G3" s="15" t="s">
        <v>10</v>
      </c>
      <c r="H3" s="16"/>
      <c r="I3" s="17" t="s">
        <v>16</v>
      </c>
      <c r="J3" s="11" t="s">
        <v>15</v>
      </c>
      <c r="K3" s="12" t="s">
        <v>6</v>
      </c>
      <c r="L3" s="13" t="s">
        <v>7</v>
      </c>
      <c r="M3" s="13" t="s">
        <v>8</v>
      </c>
      <c r="N3" s="14" t="s">
        <v>9</v>
      </c>
      <c r="O3" s="18" t="s">
        <v>10</v>
      </c>
    </row>
    <row r="4" spans="1:15" x14ac:dyDescent="0.2">
      <c r="A4" s="52" t="s">
        <v>17</v>
      </c>
      <c r="B4" s="19"/>
      <c r="C4" s="20"/>
      <c r="D4" s="21"/>
      <c r="E4" s="21"/>
      <c r="F4" s="22"/>
      <c r="G4" s="23"/>
      <c r="H4" s="24"/>
      <c r="I4" s="76">
        <v>18</v>
      </c>
      <c r="J4" s="26">
        <v>209.8</v>
      </c>
      <c r="K4" s="27">
        <v>897.13819999999998</v>
      </c>
      <c r="L4" s="28">
        <v>1899.1790000000001</v>
      </c>
      <c r="M4" s="28">
        <v>2796.3172</v>
      </c>
      <c r="N4" s="69">
        <v>1.173E-3</v>
      </c>
      <c r="O4" s="74">
        <v>0.1046</v>
      </c>
    </row>
    <row r="5" spans="1:15" ht="13.5" thickBot="1" x14ac:dyDescent="0.25">
      <c r="A5" s="77">
        <v>-0.9</v>
      </c>
      <c r="B5" s="26">
        <v>48.3</v>
      </c>
      <c r="C5" s="27">
        <v>202.12940000000003</v>
      </c>
      <c r="D5" s="28">
        <v>2386.9412000000002</v>
      </c>
      <c r="E5" s="28">
        <v>2589.0706</v>
      </c>
      <c r="F5" s="69">
        <v>1.011E-3</v>
      </c>
      <c r="G5" s="71">
        <v>13.053000000000001</v>
      </c>
      <c r="H5" s="24"/>
      <c r="I5" s="78">
        <v>18.5</v>
      </c>
      <c r="J5" s="26">
        <v>211.1</v>
      </c>
      <c r="K5" s="27">
        <v>902.95320000000004</v>
      </c>
      <c r="L5" s="28">
        <v>1893.8292000000001</v>
      </c>
      <c r="M5" s="28">
        <v>2796.7824000000001</v>
      </c>
      <c r="N5" s="69">
        <v>1.1739999999999999E-3</v>
      </c>
      <c r="O5" s="74">
        <v>0.10199999999999999</v>
      </c>
    </row>
    <row r="6" spans="1:15" x14ac:dyDescent="0.2">
      <c r="A6" s="77">
        <v>-0.8</v>
      </c>
      <c r="B6" s="26">
        <v>61.5</v>
      </c>
      <c r="C6" s="27">
        <v>257.25560000000002</v>
      </c>
      <c r="D6" s="28">
        <v>2355.0749999999998</v>
      </c>
      <c r="E6" s="28">
        <v>2612.3306000000002</v>
      </c>
      <c r="F6" s="69">
        <v>1.018E-3</v>
      </c>
      <c r="G6" s="71">
        <v>7.218</v>
      </c>
      <c r="H6" s="24"/>
      <c r="I6" s="79">
        <v>19</v>
      </c>
      <c r="J6" s="26">
        <v>212.4</v>
      </c>
      <c r="K6" s="27">
        <v>908.76819999999998</v>
      </c>
      <c r="L6" s="28">
        <v>1888.4793999999999</v>
      </c>
      <c r="M6" s="28">
        <v>2797.2475999999997</v>
      </c>
      <c r="N6" s="69">
        <v>1.1770000000000001E-3</v>
      </c>
      <c r="O6" s="74">
        <v>9.9470000000000003E-2</v>
      </c>
    </row>
    <row r="7" spans="1:15" ht="13.5" thickBot="1" x14ac:dyDescent="0.25">
      <c r="A7" s="77">
        <v>-0.6</v>
      </c>
      <c r="B7" s="26">
        <v>76.7</v>
      </c>
      <c r="C7" s="27">
        <v>320.988</v>
      </c>
      <c r="D7" s="28">
        <v>2317.1612</v>
      </c>
      <c r="E7" s="28">
        <v>2638.1491999999998</v>
      </c>
      <c r="F7" s="69">
        <v>1.0269999999999999E-3</v>
      </c>
      <c r="G7" s="71">
        <v>3.871</v>
      </c>
      <c r="H7" s="24"/>
      <c r="I7" s="78">
        <v>19.5</v>
      </c>
      <c r="J7" s="26">
        <v>213.7</v>
      </c>
      <c r="K7" s="27">
        <v>914.58320000000003</v>
      </c>
      <c r="L7" s="28">
        <v>1883.1296000000002</v>
      </c>
      <c r="M7" s="28">
        <v>2797.7128000000002</v>
      </c>
      <c r="N7" s="69">
        <v>1.1789999999999999E-3</v>
      </c>
      <c r="O7" s="74">
        <v>9.7100000000000006E-2</v>
      </c>
    </row>
    <row r="8" spans="1:15" x14ac:dyDescent="0.2">
      <c r="A8" s="77">
        <v>-0.4</v>
      </c>
      <c r="B8" s="26">
        <v>86.5</v>
      </c>
      <c r="C8" s="27">
        <v>362.39080000000001</v>
      </c>
      <c r="D8" s="28">
        <v>2292.0403999999999</v>
      </c>
      <c r="E8" s="28">
        <v>2654.4312</v>
      </c>
      <c r="F8" s="69">
        <v>1.034E-3</v>
      </c>
      <c r="G8" s="71">
        <v>2.677</v>
      </c>
      <c r="H8" s="24"/>
      <c r="I8" s="79">
        <v>20</v>
      </c>
      <c r="J8" s="26">
        <v>214.9</v>
      </c>
      <c r="K8" s="27">
        <v>920.16560000000004</v>
      </c>
      <c r="L8" s="28">
        <v>1878.2449999999999</v>
      </c>
      <c r="M8" s="28">
        <v>2798.4106000000002</v>
      </c>
      <c r="N8" s="69">
        <v>1.181E-3</v>
      </c>
      <c r="O8" s="74">
        <v>9.4899999999999998E-2</v>
      </c>
    </row>
    <row r="9" spans="1:15" ht="13.5" thickBot="1" x14ac:dyDescent="0.25">
      <c r="A9" s="77">
        <v>-0.2</v>
      </c>
      <c r="B9" s="33">
        <v>94</v>
      </c>
      <c r="C9" s="34">
        <v>393.55919999999998</v>
      </c>
      <c r="D9" s="35">
        <v>2272.7346000000002</v>
      </c>
      <c r="E9" s="35">
        <v>2666.2938000000004</v>
      </c>
      <c r="F9" s="70">
        <v>1.039E-3</v>
      </c>
      <c r="G9" s="72">
        <v>2.0569999999999999</v>
      </c>
      <c r="H9" s="24"/>
      <c r="I9" s="80">
        <v>21</v>
      </c>
      <c r="J9" s="26">
        <v>217.3</v>
      </c>
      <c r="K9" s="27">
        <v>931.09780000000001</v>
      </c>
      <c r="L9" s="28">
        <v>1868.0106000000001</v>
      </c>
      <c r="M9" s="28">
        <v>2799.1084000000001</v>
      </c>
      <c r="N9" s="69">
        <v>1.1850000000000001E-3</v>
      </c>
      <c r="O9" s="74">
        <v>9.0609999999999996E-2</v>
      </c>
    </row>
    <row r="10" spans="1:15" x14ac:dyDescent="0.2">
      <c r="A10" s="52" t="s">
        <v>16</v>
      </c>
      <c r="B10" s="19"/>
      <c r="C10" s="20"/>
      <c r="D10" s="21"/>
      <c r="E10" s="21"/>
      <c r="F10" s="69"/>
      <c r="G10" s="73"/>
      <c r="H10" s="24"/>
      <c r="I10" s="80">
        <v>22</v>
      </c>
      <c r="J10" s="26">
        <v>219.6</v>
      </c>
      <c r="K10" s="27">
        <v>941.5648000000001</v>
      </c>
      <c r="L10" s="28">
        <v>1858.0087999999998</v>
      </c>
      <c r="M10" s="28">
        <v>2799.5735999999997</v>
      </c>
      <c r="N10" s="69">
        <v>1.189E-3</v>
      </c>
      <c r="O10" s="74">
        <v>8.6779999999999996E-2</v>
      </c>
    </row>
    <row r="11" spans="1:15" x14ac:dyDescent="0.2">
      <c r="A11" s="77">
        <v>0</v>
      </c>
      <c r="B11" s="26">
        <v>100</v>
      </c>
      <c r="C11" s="27">
        <v>419.14519999999999</v>
      </c>
      <c r="D11" s="28">
        <v>2256.9178000000002</v>
      </c>
      <c r="E11" s="28">
        <v>2676.0630000000001</v>
      </c>
      <c r="F11" s="69">
        <v>1.044E-3</v>
      </c>
      <c r="G11" s="71">
        <v>1.673</v>
      </c>
      <c r="H11" s="24"/>
      <c r="I11" s="80">
        <v>23</v>
      </c>
      <c r="J11" s="26">
        <v>221.8</v>
      </c>
      <c r="K11" s="27">
        <v>952.03180000000009</v>
      </c>
      <c r="L11" s="28">
        <v>1848.2396000000001</v>
      </c>
      <c r="M11" s="28">
        <v>2800.2714000000001</v>
      </c>
      <c r="N11" s="69">
        <v>1.193E-3</v>
      </c>
      <c r="O11" s="74">
        <v>8.3220000000000002E-2</v>
      </c>
    </row>
    <row r="12" spans="1:15" x14ac:dyDescent="0.2">
      <c r="A12" s="77">
        <v>0.1</v>
      </c>
      <c r="B12" s="26">
        <v>102.7</v>
      </c>
      <c r="C12" s="27">
        <v>430.31</v>
      </c>
      <c r="D12" s="28">
        <v>2249.9398000000001</v>
      </c>
      <c r="E12" s="28">
        <v>2680.2498000000001</v>
      </c>
      <c r="F12" s="69">
        <v>1.0460000000000001E-3</v>
      </c>
      <c r="G12" s="71">
        <v>1.532</v>
      </c>
      <c r="H12" s="24"/>
      <c r="I12" s="80">
        <v>24</v>
      </c>
      <c r="J12" s="26">
        <v>224</v>
      </c>
      <c r="K12" s="27">
        <v>962.03360000000009</v>
      </c>
      <c r="L12" s="28">
        <v>1838.703</v>
      </c>
      <c r="M12" s="28">
        <v>2800.7366000000002</v>
      </c>
      <c r="N12" s="69">
        <v>1.1969999999999999E-3</v>
      </c>
      <c r="O12" s="74">
        <v>7.9890000000000003E-2</v>
      </c>
    </row>
    <row r="13" spans="1:15" ht="13.5" thickBot="1" x14ac:dyDescent="0.25">
      <c r="A13" s="77">
        <v>0.2</v>
      </c>
      <c r="B13" s="26">
        <v>105.1</v>
      </c>
      <c r="C13" s="27">
        <v>440.77699999999999</v>
      </c>
      <c r="D13" s="28">
        <v>2243.4270000000001</v>
      </c>
      <c r="E13" s="28">
        <v>2684.2040000000002</v>
      </c>
      <c r="F13" s="69">
        <v>1.0480000000000001E-3</v>
      </c>
      <c r="G13" s="71">
        <v>1.4139999999999999</v>
      </c>
      <c r="H13" s="24"/>
      <c r="I13" s="80">
        <v>25</v>
      </c>
      <c r="J13" s="33">
        <v>226.1</v>
      </c>
      <c r="K13" s="34">
        <v>971.80280000000005</v>
      </c>
      <c r="L13" s="35">
        <v>1829.3990000000001</v>
      </c>
      <c r="M13" s="35">
        <v>2801.2018000000003</v>
      </c>
      <c r="N13" s="70">
        <v>1.201E-3</v>
      </c>
      <c r="O13" s="75">
        <v>7.6840000000000006E-2</v>
      </c>
    </row>
    <row r="14" spans="1:15" x14ac:dyDescent="0.2">
      <c r="A14" s="77">
        <v>0.3</v>
      </c>
      <c r="B14" s="26">
        <v>107.4</v>
      </c>
      <c r="C14" s="27">
        <v>450.5462</v>
      </c>
      <c r="D14" s="28">
        <v>2236.9142000000002</v>
      </c>
      <c r="E14" s="28">
        <v>2687.4603999999999</v>
      </c>
      <c r="F14" s="69">
        <v>1.0499999999999999E-3</v>
      </c>
      <c r="G14" s="71">
        <v>1.3120000000000001</v>
      </c>
      <c r="H14" s="24"/>
      <c r="I14" s="80">
        <v>26</v>
      </c>
      <c r="J14" s="26">
        <v>228.1</v>
      </c>
      <c r="K14" s="27">
        <v>981.33939999999996</v>
      </c>
      <c r="L14" s="28">
        <v>1820.3276000000001</v>
      </c>
      <c r="M14" s="28">
        <v>2801.6669999999999</v>
      </c>
      <c r="N14" s="69">
        <v>1.2049999999999999E-3</v>
      </c>
      <c r="O14" s="74">
        <v>7.4029999999999999E-2</v>
      </c>
    </row>
    <row r="15" spans="1:15" x14ac:dyDescent="0.2">
      <c r="A15" s="77">
        <v>0.4</v>
      </c>
      <c r="B15" s="26">
        <v>109.6</v>
      </c>
      <c r="C15" s="27">
        <v>459.61759999999998</v>
      </c>
      <c r="D15" s="28">
        <v>2231.0992000000001</v>
      </c>
      <c r="E15" s="28">
        <v>2690.7168000000001</v>
      </c>
      <c r="F15" s="69">
        <v>1.052E-3</v>
      </c>
      <c r="G15" s="71">
        <v>1.226</v>
      </c>
      <c r="H15" s="24"/>
      <c r="I15" s="80">
        <v>27</v>
      </c>
      <c r="J15" s="26">
        <v>230.1</v>
      </c>
      <c r="K15" s="27">
        <v>990.64339999999993</v>
      </c>
      <c r="L15" s="28">
        <v>1811.4887999999999</v>
      </c>
      <c r="M15" s="28">
        <v>2802.1322</v>
      </c>
      <c r="N15" s="69">
        <v>1.209E-3</v>
      </c>
      <c r="O15" s="74">
        <v>7.1389999999999995E-2</v>
      </c>
    </row>
    <row r="16" spans="1:15" x14ac:dyDescent="0.2">
      <c r="A16" s="77">
        <v>0.5</v>
      </c>
      <c r="B16" s="26">
        <v>111.6</v>
      </c>
      <c r="C16" s="27">
        <v>468.22380000000004</v>
      </c>
      <c r="D16" s="28">
        <v>2225.5167999999999</v>
      </c>
      <c r="E16" s="28">
        <v>2693.7406000000001</v>
      </c>
      <c r="F16" s="69">
        <v>1.0529999999999999E-3</v>
      </c>
      <c r="G16" s="71">
        <v>1.149</v>
      </c>
      <c r="H16" s="24"/>
      <c r="I16" s="80">
        <v>28</v>
      </c>
      <c r="J16" s="26">
        <v>232</v>
      </c>
      <c r="K16" s="27">
        <v>999.71480000000008</v>
      </c>
      <c r="L16" s="28">
        <v>1802.65</v>
      </c>
      <c r="M16" s="28">
        <v>2802.3648000000003</v>
      </c>
      <c r="N16" s="69">
        <v>1.2130000000000001E-3</v>
      </c>
      <c r="O16" s="74">
        <v>6.8900000000000003E-2</v>
      </c>
    </row>
    <row r="17" spans="1:15" ht="13.5" thickBot="1" x14ac:dyDescent="0.25">
      <c r="A17" s="77">
        <v>0.6</v>
      </c>
      <c r="B17" s="26">
        <v>113.6</v>
      </c>
      <c r="C17" s="27">
        <v>476.36480000000006</v>
      </c>
      <c r="D17" s="28">
        <v>2220.1669999999999</v>
      </c>
      <c r="E17" s="28">
        <v>2696.5317999999997</v>
      </c>
      <c r="F17" s="69">
        <v>1.0549999999999999E-3</v>
      </c>
      <c r="G17" s="71">
        <v>1.083</v>
      </c>
      <c r="H17" s="24"/>
      <c r="I17" s="78">
        <v>29</v>
      </c>
      <c r="J17" s="26">
        <v>233.9</v>
      </c>
      <c r="K17" s="27">
        <v>1008.5536000000001</v>
      </c>
      <c r="L17" s="28">
        <v>1793.8112000000001</v>
      </c>
      <c r="M17" s="28">
        <v>2802.3648000000003</v>
      </c>
      <c r="N17" s="69">
        <v>1.2160000000000001E-3</v>
      </c>
      <c r="O17" s="74">
        <v>6.6619999999999999E-2</v>
      </c>
    </row>
    <row r="18" spans="1:15" x14ac:dyDescent="0.2">
      <c r="A18" s="77">
        <v>0.7</v>
      </c>
      <c r="B18" s="26">
        <v>115.4</v>
      </c>
      <c r="C18" s="27">
        <v>484.27319999999997</v>
      </c>
      <c r="D18" s="28">
        <v>2215.0497999999998</v>
      </c>
      <c r="E18" s="28">
        <v>2699.3229999999999</v>
      </c>
      <c r="F18" s="69">
        <v>1.057E-3</v>
      </c>
      <c r="G18" s="71">
        <v>1.0229999999999999</v>
      </c>
      <c r="H18" s="24"/>
      <c r="I18" s="79">
        <v>30</v>
      </c>
      <c r="J18" s="26">
        <v>235.7</v>
      </c>
      <c r="K18" s="27">
        <v>1017.1598</v>
      </c>
      <c r="L18" s="28">
        <v>1785.2049999999999</v>
      </c>
      <c r="M18" s="28">
        <v>2802.3648000000003</v>
      </c>
      <c r="N18" s="69">
        <v>1.2199999999999999E-3</v>
      </c>
      <c r="O18" s="74">
        <v>6.447E-2</v>
      </c>
    </row>
    <row r="19" spans="1:15" x14ac:dyDescent="0.2">
      <c r="A19" s="77">
        <v>0.8</v>
      </c>
      <c r="B19" s="26">
        <v>117.2</v>
      </c>
      <c r="C19" s="27">
        <v>491.71640000000002</v>
      </c>
      <c r="D19" s="28">
        <v>2210.1652000000004</v>
      </c>
      <c r="E19" s="28">
        <v>2701.8816000000006</v>
      </c>
      <c r="F19" s="69">
        <v>1.0579999999999999E-3</v>
      </c>
      <c r="G19" s="71">
        <v>0.97070000000000001</v>
      </c>
      <c r="H19" s="24"/>
      <c r="I19" s="80">
        <v>31</v>
      </c>
      <c r="J19" s="26">
        <v>237.5</v>
      </c>
      <c r="K19" s="27">
        <v>1025.5334</v>
      </c>
      <c r="L19" s="28">
        <v>1776.8314</v>
      </c>
      <c r="M19" s="28">
        <v>2802.3648000000003</v>
      </c>
      <c r="N19" s="69">
        <v>1.224E-3</v>
      </c>
      <c r="O19" s="74">
        <v>6.2429999999999999E-2</v>
      </c>
    </row>
    <row r="20" spans="1:15" ht="13.5" thickBot="1" x14ac:dyDescent="0.25">
      <c r="A20" s="81">
        <v>0.9</v>
      </c>
      <c r="B20" s="33">
        <v>118.8</v>
      </c>
      <c r="C20" s="34">
        <v>498.69440000000003</v>
      </c>
      <c r="D20" s="35">
        <v>2205.5132000000003</v>
      </c>
      <c r="E20" s="35">
        <v>2704.2076000000002</v>
      </c>
      <c r="F20" s="70">
        <v>1.06E-3</v>
      </c>
      <c r="G20" s="72">
        <v>0.92310000000000003</v>
      </c>
      <c r="H20" s="24"/>
      <c r="I20" s="80">
        <v>32</v>
      </c>
      <c r="J20" s="26">
        <v>239.2</v>
      </c>
      <c r="K20" s="27">
        <v>1033.6743999999999</v>
      </c>
      <c r="L20" s="28">
        <v>1768.4577999999999</v>
      </c>
      <c r="M20" s="28">
        <v>2802.1322</v>
      </c>
      <c r="N20" s="69">
        <v>1.2279999999999999E-3</v>
      </c>
      <c r="O20" s="74">
        <v>6.0510000000000001E-2</v>
      </c>
    </row>
    <row r="21" spans="1:15" x14ac:dyDescent="0.2">
      <c r="A21" s="82">
        <v>1</v>
      </c>
      <c r="B21" s="26">
        <v>120.4</v>
      </c>
      <c r="C21" s="27">
        <v>505.67240000000004</v>
      </c>
      <c r="D21" s="28">
        <v>2200.8612000000003</v>
      </c>
      <c r="E21" s="28">
        <v>2706.5336000000002</v>
      </c>
      <c r="F21" s="69">
        <v>1.0610000000000001E-3</v>
      </c>
      <c r="G21" s="71">
        <v>0.88</v>
      </c>
      <c r="H21" s="24"/>
      <c r="I21" s="80">
        <v>33</v>
      </c>
      <c r="J21" s="26">
        <v>240.9</v>
      </c>
      <c r="K21" s="27">
        <v>1041.8154</v>
      </c>
      <c r="L21" s="28">
        <v>1760.0842000000002</v>
      </c>
      <c r="M21" s="28">
        <v>2801.8996000000002</v>
      </c>
      <c r="N21" s="69">
        <v>1.2310000000000001E-3</v>
      </c>
      <c r="O21" s="74">
        <v>5.8729999999999997E-2</v>
      </c>
    </row>
    <row r="22" spans="1:15" x14ac:dyDescent="0.2">
      <c r="A22" s="77">
        <v>1.2</v>
      </c>
      <c r="B22" s="26">
        <v>123.5</v>
      </c>
      <c r="C22" s="27">
        <v>518.46540000000005</v>
      </c>
      <c r="D22" s="28">
        <v>2192.4875999999999</v>
      </c>
      <c r="E22" s="28">
        <v>2710.953</v>
      </c>
      <c r="F22" s="69">
        <v>1.0640000000000001E-3</v>
      </c>
      <c r="G22" s="71">
        <v>0.80530000000000002</v>
      </c>
      <c r="H22" s="24"/>
      <c r="I22" s="80">
        <v>34</v>
      </c>
      <c r="J22" s="26">
        <v>242.6</v>
      </c>
      <c r="K22" s="27">
        <v>1049.7238</v>
      </c>
      <c r="L22" s="28">
        <v>1752.1758</v>
      </c>
      <c r="M22" s="28">
        <v>2801.8995999999997</v>
      </c>
      <c r="N22" s="69">
        <v>1.235E-3</v>
      </c>
      <c r="O22" s="74">
        <v>5.7020000000000001E-2</v>
      </c>
    </row>
    <row r="23" spans="1:15" ht="13.5" thickBot="1" x14ac:dyDescent="0.25">
      <c r="A23" s="77">
        <v>1.4</v>
      </c>
      <c r="B23" s="26">
        <v>126.3</v>
      </c>
      <c r="C23" s="27">
        <v>530.32799999999997</v>
      </c>
      <c r="D23" s="28">
        <v>2184.3466000000003</v>
      </c>
      <c r="E23" s="28">
        <v>2714.6746000000003</v>
      </c>
      <c r="F23" s="69">
        <v>1.0660000000000001E-3</v>
      </c>
      <c r="G23" s="71">
        <v>0.74250000000000005</v>
      </c>
      <c r="H23" s="24"/>
      <c r="I23" s="80">
        <v>35</v>
      </c>
      <c r="J23" s="33">
        <v>244.2</v>
      </c>
      <c r="K23" s="34">
        <v>1057.6322</v>
      </c>
      <c r="L23" s="35">
        <v>1744.2674</v>
      </c>
      <c r="M23" s="35">
        <v>2801.8995999999997</v>
      </c>
      <c r="N23" s="70">
        <v>1.238E-3</v>
      </c>
      <c r="O23" s="75">
        <v>5.5399999999999998E-2</v>
      </c>
    </row>
    <row r="24" spans="1:15" x14ac:dyDescent="0.2">
      <c r="A24" s="77">
        <v>1.6</v>
      </c>
      <c r="B24" s="26">
        <v>128.9</v>
      </c>
      <c r="C24" s="27">
        <v>541.49279999999999</v>
      </c>
      <c r="D24" s="28">
        <v>2176.9034000000001</v>
      </c>
      <c r="E24" s="28">
        <v>2718.3962000000001</v>
      </c>
      <c r="F24" s="69">
        <v>1.0690000000000001E-3</v>
      </c>
      <c r="G24" s="71">
        <v>0.68920000000000003</v>
      </c>
      <c r="H24" s="24"/>
      <c r="I24" s="80">
        <v>36</v>
      </c>
      <c r="J24" s="26">
        <v>245.8</v>
      </c>
      <c r="K24" s="27">
        <v>1065.308</v>
      </c>
      <c r="L24" s="28">
        <v>1736.1264000000001</v>
      </c>
      <c r="M24" s="28">
        <v>2801.4344000000001</v>
      </c>
      <c r="N24" s="69">
        <v>1.242E-3</v>
      </c>
      <c r="O24" s="74">
        <v>5.3879999999999997E-2</v>
      </c>
    </row>
    <row r="25" spans="1:15" ht="13.5" thickBot="1" x14ac:dyDescent="0.25">
      <c r="A25" s="81">
        <v>1.8</v>
      </c>
      <c r="B25" s="33">
        <v>131.4</v>
      </c>
      <c r="C25" s="34">
        <v>552.19240000000002</v>
      </c>
      <c r="D25" s="35">
        <v>2169.6927999999998</v>
      </c>
      <c r="E25" s="35">
        <v>2721.8851999999997</v>
      </c>
      <c r="F25" s="70">
        <v>1.0709999999999999E-3</v>
      </c>
      <c r="G25" s="72">
        <v>0.64319999999999999</v>
      </c>
      <c r="H25" s="24"/>
      <c r="I25" s="80">
        <v>37</v>
      </c>
      <c r="J25" s="26">
        <v>247.3</v>
      </c>
      <c r="K25" s="27">
        <v>1072.7511999999999</v>
      </c>
      <c r="L25" s="28">
        <v>1728.2180000000001</v>
      </c>
      <c r="M25" s="28">
        <v>2800.9692</v>
      </c>
      <c r="N25" s="69">
        <v>1.245E-3</v>
      </c>
      <c r="O25" s="74">
        <v>5.2440000000000001E-2</v>
      </c>
    </row>
    <row r="26" spans="1:15" x14ac:dyDescent="0.2">
      <c r="A26" s="82">
        <v>2</v>
      </c>
      <c r="B26" s="26">
        <v>133.69999999999999</v>
      </c>
      <c r="C26" s="27">
        <v>562.19420000000002</v>
      </c>
      <c r="D26" s="28">
        <v>2162.7147999999997</v>
      </c>
      <c r="E26" s="28">
        <v>2724.9089999999997</v>
      </c>
      <c r="F26" s="69">
        <v>1.0740000000000001E-3</v>
      </c>
      <c r="G26" s="71">
        <v>0.60309999999999997</v>
      </c>
      <c r="H26" s="24"/>
      <c r="I26" s="80">
        <v>38</v>
      </c>
      <c r="J26" s="26">
        <v>248.8</v>
      </c>
      <c r="K26" s="27">
        <v>1080.1944000000001</v>
      </c>
      <c r="L26" s="28">
        <v>1720.5422000000001</v>
      </c>
      <c r="M26" s="28">
        <v>2800.7366000000002</v>
      </c>
      <c r="N26" s="69">
        <v>1.2489999999999999E-3</v>
      </c>
      <c r="O26" s="74">
        <v>5.1060000000000001E-2</v>
      </c>
    </row>
    <row r="27" spans="1:15" ht="13.5" thickBot="1" x14ac:dyDescent="0.25">
      <c r="A27" s="77">
        <v>2.2000000000000002</v>
      </c>
      <c r="B27" s="26">
        <v>135.9</v>
      </c>
      <c r="C27" s="27">
        <v>571.4982</v>
      </c>
      <c r="D27" s="28">
        <v>2156.2020000000002</v>
      </c>
      <c r="E27" s="28">
        <v>2727.7002000000002</v>
      </c>
      <c r="F27" s="69">
        <v>1.0759999999999999E-3</v>
      </c>
      <c r="G27" s="71">
        <v>0.56779999999999997</v>
      </c>
      <c r="H27" s="24"/>
      <c r="I27" s="78">
        <v>39</v>
      </c>
      <c r="J27" s="26">
        <v>250.4</v>
      </c>
      <c r="K27" s="27">
        <v>1087.6376</v>
      </c>
      <c r="L27" s="28">
        <v>1712.8663999999999</v>
      </c>
      <c r="M27" s="28">
        <v>2800.5039999999999</v>
      </c>
      <c r="N27" s="69">
        <v>1.2520000000000001E-3</v>
      </c>
      <c r="O27" s="74">
        <v>4.9730000000000003E-2</v>
      </c>
    </row>
    <row r="28" spans="1:15" x14ac:dyDescent="0.2">
      <c r="A28" s="77">
        <v>2.4</v>
      </c>
      <c r="B28" s="26">
        <v>138</v>
      </c>
      <c r="C28" s="27">
        <v>580.56960000000004</v>
      </c>
      <c r="D28" s="28">
        <v>2149.9218000000001</v>
      </c>
      <c r="E28" s="28">
        <v>2730.4913999999999</v>
      </c>
      <c r="F28" s="69">
        <v>1.078E-3</v>
      </c>
      <c r="G28" s="71">
        <v>0.53649999999999998</v>
      </c>
      <c r="H28" s="24"/>
      <c r="I28" s="79">
        <v>40</v>
      </c>
      <c r="J28" s="26">
        <v>251.8</v>
      </c>
      <c r="K28" s="27">
        <v>1094.6156000000001</v>
      </c>
      <c r="L28" s="28">
        <v>1705.4232000000002</v>
      </c>
      <c r="M28" s="28">
        <v>2800.0388000000003</v>
      </c>
      <c r="N28" s="69">
        <v>1.256E-3</v>
      </c>
      <c r="O28" s="74">
        <v>4.8489999999999998E-2</v>
      </c>
    </row>
    <row r="29" spans="1:15" ht="13.5" thickBot="1" x14ac:dyDescent="0.25">
      <c r="A29" s="77">
        <v>2.6</v>
      </c>
      <c r="B29" s="26">
        <v>140</v>
      </c>
      <c r="C29" s="27">
        <v>589.17580000000009</v>
      </c>
      <c r="D29" s="28">
        <v>2143.8742000000002</v>
      </c>
      <c r="E29" s="28">
        <v>2733.05</v>
      </c>
      <c r="F29" s="69">
        <v>1.08E-3</v>
      </c>
      <c r="G29" s="71">
        <v>0.50860000000000005</v>
      </c>
      <c r="H29" s="24"/>
      <c r="I29" s="78">
        <v>45</v>
      </c>
      <c r="J29" s="26">
        <v>258.8</v>
      </c>
      <c r="K29" s="27">
        <v>1128.8078</v>
      </c>
      <c r="L29" s="28">
        <v>1668.2072000000001</v>
      </c>
      <c r="M29" s="28">
        <v>2797.0150000000003</v>
      </c>
      <c r="N29" s="69">
        <v>1.273E-3</v>
      </c>
      <c r="O29" s="74">
        <v>4.3029999999999999E-2</v>
      </c>
    </row>
    <row r="30" spans="1:15" ht="13.5" thickBot="1" x14ac:dyDescent="0.25">
      <c r="A30" s="81">
        <v>2.8</v>
      </c>
      <c r="B30" s="26">
        <v>141.9</v>
      </c>
      <c r="C30" s="27">
        <v>597.31680000000006</v>
      </c>
      <c r="D30" s="28">
        <v>2138.2918</v>
      </c>
      <c r="E30" s="28">
        <v>2735.6086</v>
      </c>
      <c r="F30" s="69">
        <v>1.0820000000000001E-3</v>
      </c>
      <c r="G30" s="71">
        <v>0.48349999999999999</v>
      </c>
      <c r="H30" s="24"/>
      <c r="I30" s="79">
        <v>50</v>
      </c>
      <c r="J30" s="26">
        <v>265.2</v>
      </c>
      <c r="K30" s="27">
        <v>1160.9066</v>
      </c>
      <c r="L30" s="28">
        <v>1632.6194</v>
      </c>
      <c r="M30" s="28">
        <v>2793.5259999999998</v>
      </c>
      <c r="N30" s="69">
        <v>1.289E-3</v>
      </c>
      <c r="O30" s="74">
        <v>3.8600000000000002E-2</v>
      </c>
    </row>
    <row r="31" spans="1:15" ht="13.5" thickBot="1" x14ac:dyDescent="0.25">
      <c r="A31" s="82">
        <v>3</v>
      </c>
      <c r="B31" s="33">
        <v>143.69999999999999</v>
      </c>
      <c r="C31" s="34">
        <v>605.22519999999997</v>
      </c>
      <c r="D31" s="35">
        <v>2132.4767999999999</v>
      </c>
      <c r="E31" s="35">
        <v>2737.7019999999998</v>
      </c>
      <c r="F31" s="70">
        <v>1.0839999999999999E-3</v>
      </c>
      <c r="G31" s="72">
        <v>0.46079999999999999</v>
      </c>
      <c r="H31" s="24"/>
      <c r="I31" s="78">
        <v>55</v>
      </c>
      <c r="J31" s="26">
        <v>271.10000000000002</v>
      </c>
      <c r="K31" s="27">
        <v>1190.912</v>
      </c>
      <c r="L31" s="28">
        <v>1598.1946</v>
      </c>
      <c r="M31" s="28">
        <v>2789.1066000000001</v>
      </c>
      <c r="N31" s="69">
        <v>1.3060000000000001E-3</v>
      </c>
      <c r="O31" s="74">
        <v>3.4939999999999999E-2</v>
      </c>
    </row>
    <row r="32" spans="1:15" x14ac:dyDescent="0.2">
      <c r="A32" s="77">
        <v>3.2</v>
      </c>
      <c r="B32" s="26">
        <v>145.5</v>
      </c>
      <c r="C32" s="27">
        <v>612.66840000000002</v>
      </c>
      <c r="D32" s="28">
        <v>2127.127</v>
      </c>
      <c r="E32" s="28">
        <v>2739.7954</v>
      </c>
      <c r="F32" s="69">
        <v>1.0859999999999999E-3</v>
      </c>
      <c r="G32" s="71">
        <v>0.44019999999999998</v>
      </c>
      <c r="H32" s="24"/>
      <c r="I32" s="79">
        <v>60</v>
      </c>
      <c r="J32" s="26">
        <v>276.60000000000002</v>
      </c>
      <c r="K32" s="27">
        <v>1219.2892000000002</v>
      </c>
      <c r="L32" s="28">
        <v>1564.4676000000002</v>
      </c>
      <c r="M32" s="28">
        <v>2783.7568000000001</v>
      </c>
      <c r="N32" s="69">
        <v>1.322E-3</v>
      </c>
      <c r="O32" s="74">
        <v>3.1859999999999999E-2</v>
      </c>
    </row>
    <row r="33" spans="1:15" ht="13.5" thickBot="1" x14ac:dyDescent="0.25">
      <c r="A33" s="77">
        <v>3.4</v>
      </c>
      <c r="B33" s="26">
        <v>147.19999999999999</v>
      </c>
      <c r="C33" s="27">
        <v>620.11160000000007</v>
      </c>
      <c r="D33" s="28">
        <v>2122.0097999999998</v>
      </c>
      <c r="E33" s="28">
        <v>2742.1214</v>
      </c>
      <c r="F33" s="69">
        <v>1.088E-3</v>
      </c>
      <c r="G33" s="71">
        <v>0.4214</v>
      </c>
      <c r="H33" s="24"/>
      <c r="I33" s="78">
        <v>65</v>
      </c>
      <c r="J33" s="33">
        <v>281.8</v>
      </c>
      <c r="K33" s="34">
        <v>1246.5034000000001</v>
      </c>
      <c r="L33" s="35">
        <v>1531.671</v>
      </c>
      <c r="M33" s="35">
        <v>2778.1743999999999</v>
      </c>
      <c r="N33" s="70">
        <v>1.338E-3</v>
      </c>
      <c r="O33" s="75">
        <v>2.9219999999999999E-2</v>
      </c>
    </row>
    <row r="34" spans="1:15" x14ac:dyDescent="0.2">
      <c r="A34" s="77">
        <v>3.6</v>
      </c>
      <c r="B34" s="26">
        <v>148.80000000000001</v>
      </c>
      <c r="C34" s="27">
        <v>627.08960000000002</v>
      </c>
      <c r="D34" s="28">
        <v>2116.8926000000001</v>
      </c>
      <c r="E34" s="28">
        <v>2743.9822000000004</v>
      </c>
      <c r="F34" s="69">
        <v>1.09E-3</v>
      </c>
      <c r="G34" s="71">
        <v>0.4042</v>
      </c>
      <c r="H34" s="24"/>
      <c r="I34" s="79">
        <v>70</v>
      </c>
      <c r="J34" s="26">
        <v>286.7</v>
      </c>
      <c r="K34" s="27">
        <v>1272.5546000000002</v>
      </c>
      <c r="L34" s="28">
        <v>1499.5722000000001</v>
      </c>
      <c r="M34" s="28">
        <v>2772.1268</v>
      </c>
      <c r="N34" s="69">
        <v>1.3550000000000001E-3</v>
      </c>
      <c r="O34" s="74">
        <v>2.6950000000000002E-2</v>
      </c>
    </row>
    <row r="35" spans="1:15" ht="13.5" thickBot="1" x14ac:dyDescent="0.25">
      <c r="A35" s="81">
        <v>3.8</v>
      </c>
      <c r="B35" s="26">
        <v>150.4</v>
      </c>
      <c r="C35" s="27">
        <v>633.83500000000004</v>
      </c>
      <c r="D35" s="28">
        <v>2111.7754</v>
      </c>
      <c r="E35" s="28">
        <v>2745.6104</v>
      </c>
      <c r="F35" s="69">
        <v>1.091E-3</v>
      </c>
      <c r="G35" s="71">
        <v>0.38829999999999998</v>
      </c>
      <c r="H35" s="24"/>
      <c r="I35" s="78">
        <v>75</v>
      </c>
      <c r="J35" s="26">
        <v>291.39999999999998</v>
      </c>
      <c r="K35" s="27">
        <v>1297.6754000000001</v>
      </c>
      <c r="L35" s="28">
        <v>1467.7060000000001</v>
      </c>
      <c r="M35" s="28">
        <v>2765.3814000000002</v>
      </c>
      <c r="N35" s="69">
        <v>1.371E-3</v>
      </c>
      <c r="O35" s="74">
        <v>2.495E-2</v>
      </c>
    </row>
    <row r="36" spans="1:15" x14ac:dyDescent="0.2">
      <c r="A36" s="82">
        <v>4</v>
      </c>
      <c r="B36" s="26">
        <v>151.9</v>
      </c>
      <c r="C36" s="27">
        <v>640.58039999999994</v>
      </c>
      <c r="D36" s="28">
        <v>2107.1233999999999</v>
      </c>
      <c r="E36" s="28">
        <v>2747.7037999999998</v>
      </c>
      <c r="F36" s="69">
        <v>1.093E-3</v>
      </c>
      <c r="G36" s="71">
        <v>0.37369999999999998</v>
      </c>
      <c r="H36" s="24"/>
      <c r="I36" s="79">
        <v>80</v>
      </c>
      <c r="J36" s="26">
        <v>295.8</v>
      </c>
      <c r="K36" s="27">
        <v>1322.0984000000001</v>
      </c>
      <c r="L36" s="28">
        <v>1436.5376000000001</v>
      </c>
      <c r="M36" s="28">
        <v>2758.6360000000004</v>
      </c>
      <c r="N36" s="69">
        <v>1.3879999999999999E-3</v>
      </c>
      <c r="O36" s="74">
        <v>2.3199999999999998E-2</v>
      </c>
    </row>
    <row r="37" spans="1:15" ht="13.5" thickBot="1" x14ac:dyDescent="0.25">
      <c r="A37" s="81">
        <v>4.5</v>
      </c>
      <c r="B37" s="33">
        <v>155.6</v>
      </c>
      <c r="C37" s="34">
        <v>656.16460000000006</v>
      </c>
      <c r="D37" s="35">
        <v>2095.4933999999998</v>
      </c>
      <c r="E37" s="35">
        <v>2751.6579999999999</v>
      </c>
      <c r="F37" s="70">
        <v>1.0970000000000001E-3</v>
      </c>
      <c r="G37" s="72">
        <v>0.3417</v>
      </c>
      <c r="H37" s="24"/>
      <c r="I37" s="78">
        <v>85</v>
      </c>
      <c r="J37" s="26">
        <v>300.10000000000002</v>
      </c>
      <c r="K37" s="27">
        <v>1345.5910000000001</v>
      </c>
      <c r="L37" s="28">
        <v>1405.6017999999999</v>
      </c>
      <c r="M37" s="28">
        <v>2751.1927999999998</v>
      </c>
      <c r="N37" s="69">
        <v>1.4040000000000001E-3</v>
      </c>
      <c r="O37" s="74">
        <v>2.162E-2</v>
      </c>
    </row>
    <row r="38" spans="1:15" ht="13.5" thickBot="1" x14ac:dyDescent="0.25">
      <c r="A38" s="82">
        <v>5</v>
      </c>
      <c r="B38" s="26">
        <v>158.9</v>
      </c>
      <c r="C38" s="27">
        <v>670.8184</v>
      </c>
      <c r="D38" s="28">
        <v>2084.7937999999999</v>
      </c>
      <c r="E38" s="28">
        <v>2755.6122</v>
      </c>
      <c r="F38" s="69">
        <v>1.101E-3</v>
      </c>
      <c r="G38" s="71">
        <v>0.31480000000000002</v>
      </c>
      <c r="H38" s="24"/>
      <c r="I38" s="79">
        <v>90</v>
      </c>
      <c r="J38" s="33">
        <v>304.10000000000002</v>
      </c>
      <c r="K38" s="34">
        <v>1368.1532000000002</v>
      </c>
      <c r="L38" s="35">
        <v>1374.6659999999999</v>
      </c>
      <c r="M38" s="35">
        <v>2742.8191999999999</v>
      </c>
      <c r="N38" s="70">
        <v>1.421E-3</v>
      </c>
      <c r="O38" s="75">
        <v>2.0230000000000001E-2</v>
      </c>
    </row>
    <row r="39" spans="1:15" ht="13.5" thickBot="1" x14ac:dyDescent="0.25">
      <c r="A39" s="81">
        <v>5.5</v>
      </c>
      <c r="B39" s="26">
        <v>162.1</v>
      </c>
      <c r="C39" s="27">
        <v>684.54180000000008</v>
      </c>
      <c r="D39" s="28">
        <v>2074.3267999999998</v>
      </c>
      <c r="E39" s="28">
        <v>2758.8685999999998</v>
      </c>
      <c r="F39" s="69">
        <v>1.1050000000000001E-3</v>
      </c>
      <c r="G39" s="71">
        <v>0.29189999999999999</v>
      </c>
      <c r="H39" s="24"/>
      <c r="I39" s="78">
        <v>95</v>
      </c>
      <c r="J39" s="26">
        <v>308</v>
      </c>
      <c r="K39" s="27">
        <v>1390.4828</v>
      </c>
      <c r="L39" s="28">
        <v>1344.1954000000001</v>
      </c>
      <c r="M39" s="28">
        <v>2734.6782000000003</v>
      </c>
      <c r="N39" s="69">
        <v>1.438E-3</v>
      </c>
      <c r="O39" s="74">
        <v>1.8970000000000001E-2</v>
      </c>
    </row>
    <row r="40" spans="1:15" x14ac:dyDescent="0.2">
      <c r="A40" s="82">
        <v>6</v>
      </c>
      <c r="B40" s="26">
        <v>165</v>
      </c>
      <c r="C40" s="27">
        <v>697.33480000000009</v>
      </c>
      <c r="D40" s="28">
        <v>2064.7902000000004</v>
      </c>
      <c r="E40" s="28">
        <v>2762.1250000000005</v>
      </c>
      <c r="F40" s="69">
        <v>1.109E-3</v>
      </c>
      <c r="G40" s="71">
        <v>0.2722</v>
      </c>
      <c r="H40" s="24"/>
      <c r="I40" s="79">
        <v>100</v>
      </c>
      <c r="J40" s="26">
        <v>311.7</v>
      </c>
      <c r="K40" s="27">
        <v>1412.3472000000002</v>
      </c>
      <c r="L40" s="28">
        <v>1313.7248</v>
      </c>
      <c r="M40" s="28">
        <v>2726.0720000000001</v>
      </c>
      <c r="N40" s="69">
        <v>1.456E-3</v>
      </c>
      <c r="O40" s="74">
        <v>1.7819999999999999E-2</v>
      </c>
    </row>
    <row r="41" spans="1:15" ht="13.5" thickBot="1" x14ac:dyDescent="0.25">
      <c r="A41" s="81">
        <v>6.5</v>
      </c>
      <c r="B41" s="26">
        <v>167.8</v>
      </c>
      <c r="C41" s="27">
        <v>709.66260000000011</v>
      </c>
      <c r="D41" s="28">
        <v>2055.2536</v>
      </c>
      <c r="E41" s="28">
        <v>2764.9162000000001</v>
      </c>
      <c r="F41" s="69">
        <v>1.1119999999999999E-3</v>
      </c>
      <c r="G41" s="71">
        <v>0.255</v>
      </c>
      <c r="H41" s="24"/>
      <c r="I41" s="80">
        <v>105</v>
      </c>
      <c r="J41" s="26">
        <v>315.3</v>
      </c>
      <c r="K41" s="27">
        <v>1433.7464</v>
      </c>
      <c r="L41" s="28">
        <v>1283.0216</v>
      </c>
      <c r="M41" s="28">
        <v>2716.768</v>
      </c>
      <c r="N41" s="69">
        <v>1.474E-3</v>
      </c>
      <c r="O41" s="74">
        <v>1.6789999999999999E-2</v>
      </c>
    </row>
    <row r="42" spans="1:15" x14ac:dyDescent="0.2">
      <c r="A42" s="82">
        <v>7</v>
      </c>
      <c r="B42" s="26">
        <v>170.5</v>
      </c>
      <c r="C42" s="27">
        <v>721.29260000000011</v>
      </c>
      <c r="D42" s="28">
        <v>2046.4148</v>
      </c>
      <c r="E42" s="28">
        <v>2767.7074000000002</v>
      </c>
      <c r="F42" s="69">
        <v>1.1150000000000001E-3</v>
      </c>
      <c r="G42" s="71">
        <v>0.2399</v>
      </c>
      <c r="H42" s="24"/>
      <c r="I42" s="80">
        <v>110</v>
      </c>
      <c r="J42" s="26">
        <v>318.7</v>
      </c>
      <c r="K42" s="27">
        <v>1454.6804</v>
      </c>
      <c r="L42" s="28">
        <v>1252.5509999999999</v>
      </c>
      <c r="M42" s="28">
        <v>2707.2313999999997</v>
      </c>
      <c r="N42" s="69">
        <v>1.493E-3</v>
      </c>
      <c r="O42" s="74">
        <v>1.5820000000000001E-2</v>
      </c>
    </row>
    <row r="43" spans="1:15" ht="13.5" thickBot="1" x14ac:dyDescent="0.25">
      <c r="A43" s="81">
        <v>7.5</v>
      </c>
      <c r="B43" s="33">
        <v>173</v>
      </c>
      <c r="C43" s="34">
        <v>732.22480000000007</v>
      </c>
      <c r="D43" s="35">
        <v>2037.8086000000001</v>
      </c>
      <c r="E43" s="35">
        <v>2770.0334000000003</v>
      </c>
      <c r="F43" s="70">
        <v>1.1180000000000001E-3</v>
      </c>
      <c r="G43" s="72">
        <v>0.22650000000000001</v>
      </c>
      <c r="H43" s="24"/>
      <c r="I43" s="80">
        <v>115</v>
      </c>
      <c r="J43" s="33">
        <v>322.10000000000002</v>
      </c>
      <c r="K43" s="34">
        <v>1475.6143999999999</v>
      </c>
      <c r="L43" s="35">
        <v>1221.8478</v>
      </c>
      <c r="M43" s="35">
        <v>2697.4621999999999</v>
      </c>
      <c r="N43" s="70">
        <v>1.511E-3</v>
      </c>
      <c r="O43" s="75">
        <v>1.495E-2</v>
      </c>
    </row>
    <row r="44" spans="1:15" ht="13.5" thickBot="1" x14ac:dyDescent="0.25">
      <c r="A44" s="82">
        <v>8</v>
      </c>
      <c r="B44" s="26">
        <v>175.4</v>
      </c>
      <c r="C44" s="27">
        <v>742.92439999999999</v>
      </c>
      <c r="D44" s="28">
        <v>2029.2023999999999</v>
      </c>
      <c r="E44" s="28">
        <v>2772.1268</v>
      </c>
      <c r="F44" s="69">
        <v>1.122E-3</v>
      </c>
      <c r="G44" s="71">
        <v>0.2145</v>
      </c>
      <c r="H44" s="24"/>
      <c r="I44" s="78">
        <v>120</v>
      </c>
      <c r="J44" s="26">
        <v>325.3</v>
      </c>
      <c r="K44" s="27">
        <v>1495.8506</v>
      </c>
      <c r="L44" s="28">
        <v>1191.1446000000001</v>
      </c>
      <c r="M44" s="28">
        <v>2686.9952000000003</v>
      </c>
      <c r="N44" s="69">
        <v>1.531E-3</v>
      </c>
      <c r="O44" s="74">
        <v>1.414E-2</v>
      </c>
    </row>
    <row r="45" spans="1:15" ht="13.5" thickBot="1" x14ac:dyDescent="0.25">
      <c r="A45" s="81">
        <v>8.5</v>
      </c>
      <c r="B45" s="33">
        <v>177.7</v>
      </c>
      <c r="C45" s="34">
        <v>753.15880000000004</v>
      </c>
      <c r="D45" s="35">
        <v>2021.0614</v>
      </c>
      <c r="E45" s="35">
        <v>2774.2202000000002</v>
      </c>
      <c r="F45" s="70">
        <v>1.124E-3</v>
      </c>
      <c r="G45" s="72">
        <v>0.20380000000000001</v>
      </c>
      <c r="H45" s="24"/>
      <c r="I45" s="79">
        <v>125</v>
      </c>
      <c r="J45" s="33">
        <v>328.4</v>
      </c>
      <c r="K45" s="34">
        <v>1516.0868</v>
      </c>
      <c r="L45" s="35">
        <v>1159.9762000000001</v>
      </c>
      <c r="M45" s="35">
        <v>2676.0630000000001</v>
      </c>
      <c r="N45" s="70">
        <v>1.5510000000000001E-3</v>
      </c>
      <c r="O45" s="75">
        <v>1.337E-2</v>
      </c>
    </row>
    <row r="46" spans="1:15" x14ac:dyDescent="0.2">
      <c r="A46" s="82">
        <v>9</v>
      </c>
      <c r="B46" s="26">
        <v>179.9</v>
      </c>
      <c r="C46" s="27">
        <v>762.69539999999995</v>
      </c>
      <c r="D46" s="28">
        <v>2013.3856000000001</v>
      </c>
      <c r="E46" s="28">
        <v>2776.0810000000001</v>
      </c>
      <c r="F46" s="69">
        <v>1.127E-3</v>
      </c>
      <c r="G46" s="71">
        <v>0.19400000000000001</v>
      </c>
      <c r="H46" s="24"/>
      <c r="I46" s="80">
        <v>130</v>
      </c>
      <c r="J46" s="26">
        <v>331.4</v>
      </c>
      <c r="K46" s="27">
        <v>1536.0904</v>
      </c>
      <c r="L46" s="28">
        <v>1128.5752</v>
      </c>
      <c r="M46" s="28">
        <v>2664.6656000000003</v>
      </c>
      <c r="N46" s="69">
        <v>1.5709999999999999E-3</v>
      </c>
      <c r="O46" s="74">
        <v>1.2659999999999999E-2</v>
      </c>
    </row>
    <row r="47" spans="1:15" ht="13.5" thickBot="1" x14ac:dyDescent="0.25">
      <c r="A47" s="81">
        <v>9.5</v>
      </c>
      <c r="B47" s="33">
        <v>182.1</v>
      </c>
      <c r="C47" s="34">
        <v>772.23199999999997</v>
      </c>
      <c r="D47" s="35">
        <v>2005.7097999999999</v>
      </c>
      <c r="E47" s="35">
        <v>2777.9417999999996</v>
      </c>
      <c r="F47" s="70">
        <v>1.1299999999999999E-3</v>
      </c>
      <c r="G47" s="72">
        <v>0.1852</v>
      </c>
      <c r="H47" s="24"/>
      <c r="I47" s="80">
        <v>135</v>
      </c>
      <c r="J47" s="33">
        <v>334.3</v>
      </c>
      <c r="K47" s="34">
        <v>1555.8614</v>
      </c>
      <c r="L47" s="35">
        <v>1096.4764</v>
      </c>
      <c r="M47" s="35">
        <v>2652.3378000000002</v>
      </c>
      <c r="N47" s="70">
        <v>1.593E-3</v>
      </c>
      <c r="O47" s="75">
        <v>1.2E-2</v>
      </c>
    </row>
    <row r="48" spans="1:15" x14ac:dyDescent="0.2">
      <c r="A48" s="82">
        <v>10</v>
      </c>
      <c r="B48" s="26">
        <v>184.1</v>
      </c>
      <c r="C48" s="27">
        <v>781.53600000000006</v>
      </c>
      <c r="D48" s="28">
        <v>1998.2666000000002</v>
      </c>
      <c r="E48" s="28">
        <v>2779.8026</v>
      </c>
      <c r="F48" s="69">
        <v>1.1329999999999999E-3</v>
      </c>
      <c r="G48" s="71">
        <v>0.1772</v>
      </c>
      <c r="H48" s="24"/>
      <c r="I48" s="80">
        <v>140</v>
      </c>
      <c r="J48" s="26">
        <v>337.2</v>
      </c>
      <c r="K48" s="27">
        <v>1575.6324</v>
      </c>
      <c r="L48" s="28">
        <v>1063.9123999999999</v>
      </c>
      <c r="M48" s="28">
        <v>2639.5447999999997</v>
      </c>
      <c r="N48" s="69">
        <v>1.6149999999999999E-3</v>
      </c>
      <c r="O48" s="74">
        <v>1.1379999999999999E-2</v>
      </c>
    </row>
    <row r="49" spans="1:15" ht="13.5" thickBot="1" x14ac:dyDescent="0.25">
      <c r="A49" s="81">
        <v>10.5</v>
      </c>
      <c r="B49" s="33">
        <v>186.1</v>
      </c>
      <c r="C49" s="34">
        <v>790.1422</v>
      </c>
      <c r="D49" s="35">
        <v>1991.2886000000001</v>
      </c>
      <c r="E49" s="35">
        <v>2781.4308000000001</v>
      </c>
      <c r="F49" s="70">
        <v>1.1360000000000001E-3</v>
      </c>
      <c r="G49" s="72">
        <v>0.16980000000000001</v>
      </c>
      <c r="H49" s="24"/>
      <c r="I49" s="78">
        <v>145</v>
      </c>
      <c r="J49" s="33">
        <v>340</v>
      </c>
      <c r="K49" s="34">
        <v>1595.4033999999999</v>
      </c>
      <c r="L49" s="35">
        <v>1030.8832</v>
      </c>
      <c r="M49" s="35">
        <v>2626.2865999999999</v>
      </c>
      <c r="N49" s="70">
        <v>1.6379999999999999E-3</v>
      </c>
      <c r="O49" s="75">
        <v>1.0789999999999999E-2</v>
      </c>
    </row>
    <row r="50" spans="1:15" x14ac:dyDescent="0.2">
      <c r="A50" s="82">
        <v>11</v>
      </c>
      <c r="B50" s="26">
        <v>188</v>
      </c>
      <c r="C50" s="27">
        <v>798.51580000000001</v>
      </c>
      <c r="D50" s="28">
        <v>1984.078</v>
      </c>
      <c r="E50" s="28">
        <v>2782.5938000000001</v>
      </c>
      <c r="F50" s="69">
        <v>1.139E-3</v>
      </c>
      <c r="G50" s="71">
        <v>0.16300000000000001</v>
      </c>
      <c r="H50" s="24"/>
      <c r="I50" s="79">
        <v>150</v>
      </c>
      <c r="J50" s="26">
        <v>342.7</v>
      </c>
      <c r="K50" s="27">
        <v>1615.1744000000001</v>
      </c>
      <c r="L50" s="28">
        <v>996.92360000000008</v>
      </c>
      <c r="M50" s="28">
        <v>2612.098</v>
      </c>
      <c r="N50" s="69">
        <v>1.663E-3</v>
      </c>
      <c r="O50" s="74">
        <v>1.023E-2</v>
      </c>
    </row>
    <row r="51" spans="1:15" ht="13.5" thickBot="1" x14ac:dyDescent="0.25">
      <c r="A51" s="81">
        <v>11.5</v>
      </c>
      <c r="B51" s="33">
        <v>189.9</v>
      </c>
      <c r="C51" s="34">
        <v>806.88940000000002</v>
      </c>
      <c r="D51" s="35">
        <v>1977.3326000000002</v>
      </c>
      <c r="E51" s="35">
        <v>2784.2220000000002</v>
      </c>
      <c r="F51" s="70">
        <v>1.1410000000000001E-3</v>
      </c>
      <c r="G51" s="72">
        <v>0.15679999999999999</v>
      </c>
      <c r="H51" s="24"/>
      <c r="I51" s="80">
        <v>155</v>
      </c>
      <c r="J51" s="33">
        <v>345.3</v>
      </c>
      <c r="K51" s="34">
        <v>1634.7128</v>
      </c>
      <c r="L51" s="35">
        <v>962.26620000000003</v>
      </c>
      <c r="M51" s="35">
        <v>2596.9790000000003</v>
      </c>
      <c r="N51" s="70">
        <v>1.689E-3</v>
      </c>
      <c r="O51" s="75">
        <v>9.7120000000000001E-3</v>
      </c>
    </row>
    <row r="52" spans="1:15" ht="13.5" thickBot="1" x14ac:dyDescent="0.25">
      <c r="A52" s="82">
        <v>12</v>
      </c>
      <c r="B52" s="26">
        <v>191.7</v>
      </c>
      <c r="C52" s="27">
        <v>814.79780000000005</v>
      </c>
      <c r="D52" s="28">
        <v>1970.5872000000002</v>
      </c>
      <c r="E52" s="28">
        <v>2785.3850000000002</v>
      </c>
      <c r="F52" s="69">
        <v>1.1440000000000001E-3</v>
      </c>
      <c r="G52" s="71">
        <v>0.151</v>
      </c>
      <c r="H52" s="24"/>
      <c r="I52" s="80">
        <v>160</v>
      </c>
      <c r="J52" s="33">
        <v>347.8</v>
      </c>
      <c r="K52" s="34">
        <v>1654.7164</v>
      </c>
      <c r="L52" s="35">
        <v>926.91100000000006</v>
      </c>
      <c r="M52" s="35">
        <v>2581.6274000000003</v>
      </c>
      <c r="N52" s="70">
        <v>1.7160000000000001E-3</v>
      </c>
      <c r="O52" s="75">
        <v>9.214E-3</v>
      </c>
    </row>
    <row r="53" spans="1:15" ht="13.5" thickBot="1" x14ac:dyDescent="0.25">
      <c r="A53" s="81">
        <v>12.5</v>
      </c>
      <c r="B53" s="33">
        <v>193.4</v>
      </c>
      <c r="C53" s="34">
        <v>822.70619999999997</v>
      </c>
      <c r="D53" s="35">
        <v>1964.0744</v>
      </c>
      <c r="E53" s="35">
        <v>2786.7806</v>
      </c>
      <c r="F53" s="70">
        <v>1.1460000000000001E-3</v>
      </c>
      <c r="G53" s="72">
        <v>0.14560000000000001</v>
      </c>
      <c r="H53" s="24"/>
      <c r="I53" s="80">
        <v>165</v>
      </c>
      <c r="J53" s="33">
        <v>350.3</v>
      </c>
      <c r="K53" s="34">
        <v>1674.72</v>
      </c>
      <c r="L53" s="35">
        <v>890.85800000000006</v>
      </c>
      <c r="M53" s="35">
        <v>2565.578</v>
      </c>
      <c r="N53" s="70">
        <v>1.745E-3</v>
      </c>
      <c r="O53" s="75">
        <v>8.7379999999999992E-3</v>
      </c>
    </row>
    <row r="54" spans="1:15" ht="13.5" thickBot="1" x14ac:dyDescent="0.25">
      <c r="A54" s="82">
        <v>13</v>
      </c>
      <c r="B54" s="26">
        <v>195.1</v>
      </c>
      <c r="C54" s="27">
        <v>830.14940000000001</v>
      </c>
      <c r="D54" s="28">
        <v>1957.5616</v>
      </c>
      <c r="E54" s="28">
        <v>2787.7110000000002</v>
      </c>
      <c r="F54" s="69">
        <v>1.1490000000000001E-3</v>
      </c>
      <c r="G54" s="71">
        <v>0.1406</v>
      </c>
      <c r="H54" s="24"/>
      <c r="I54" s="78">
        <v>170</v>
      </c>
      <c r="J54" s="26">
        <v>352.7</v>
      </c>
      <c r="K54" s="27">
        <v>1696.1192000000001</v>
      </c>
      <c r="L54" s="28">
        <v>851.78120000000001</v>
      </c>
      <c r="M54" s="28">
        <v>2547.9004</v>
      </c>
      <c r="N54" s="69">
        <v>1.776E-3</v>
      </c>
      <c r="O54" s="74">
        <v>8.2819999999999994E-3</v>
      </c>
    </row>
    <row r="55" spans="1:15" ht="13.5" thickBot="1" x14ac:dyDescent="0.25">
      <c r="A55" s="81">
        <v>13.5</v>
      </c>
      <c r="B55" s="33">
        <v>196.7</v>
      </c>
      <c r="C55" s="34">
        <v>837.59260000000006</v>
      </c>
      <c r="D55" s="35">
        <v>1951.2814000000001</v>
      </c>
      <c r="E55" s="35">
        <v>2788.8740000000003</v>
      </c>
      <c r="F55" s="70">
        <v>1.1509999999999999E-3</v>
      </c>
      <c r="G55" s="72">
        <v>0.13589999999999999</v>
      </c>
      <c r="H55" s="24"/>
      <c r="I55" s="79">
        <v>175</v>
      </c>
      <c r="J55" s="26">
        <v>355.1</v>
      </c>
      <c r="K55" s="27">
        <v>1717.751</v>
      </c>
      <c r="L55" s="28">
        <v>811.54139999999995</v>
      </c>
      <c r="M55" s="28">
        <v>2529.2923999999998</v>
      </c>
      <c r="N55" s="69">
        <v>1.8109999999999999E-3</v>
      </c>
      <c r="O55" s="74">
        <v>7.842E-3</v>
      </c>
    </row>
    <row r="56" spans="1:15" x14ac:dyDescent="0.2">
      <c r="A56" s="82">
        <v>14</v>
      </c>
      <c r="B56" s="26">
        <v>198.3</v>
      </c>
      <c r="C56" s="27">
        <v>845.03579999999999</v>
      </c>
      <c r="D56" s="28">
        <v>1945.0012000000002</v>
      </c>
      <c r="E56" s="28">
        <v>2790.0370000000003</v>
      </c>
      <c r="F56" s="69">
        <v>1.1540000000000001E-3</v>
      </c>
      <c r="G56" s="71">
        <v>0.13159999999999999</v>
      </c>
      <c r="H56" s="24"/>
      <c r="I56" s="80">
        <v>180</v>
      </c>
      <c r="J56" s="26">
        <v>357.4</v>
      </c>
      <c r="K56" s="27">
        <v>1739.1502000000003</v>
      </c>
      <c r="L56" s="28">
        <v>770.37120000000004</v>
      </c>
      <c r="M56" s="28">
        <v>2509.5214000000005</v>
      </c>
      <c r="N56" s="69">
        <v>1.8489999999999999E-3</v>
      </c>
      <c r="O56" s="74">
        <v>7.4149999999999997E-3</v>
      </c>
    </row>
    <row r="57" spans="1:15" ht="13.5" thickBot="1" x14ac:dyDescent="0.25">
      <c r="A57" s="81">
        <v>14.5</v>
      </c>
      <c r="B57" s="33">
        <v>199.9</v>
      </c>
      <c r="C57" s="34">
        <v>851.78120000000001</v>
      </c>
      <c r="D57" s="35">
        <v>1938.9536000000001</v>
      </c>
      <c r="E57" s="35">
        <v>2790.7348000000002</v>
      </c>
      <c r="F57" s="70">
        <v>1.1559999999999999E-3</v>
      </c>
      <c r="G57" s="72">
        <v>0.12740000000000001</v>
      </c>
      <c r="H57" s="24"/>
      <c r="I57" s="80">
        <v>185</v>
      </c>
      <c r="J57" s="33">
        <v>359.7</v>
      </c>
      <c r="K57" s="34">
        <v>1760.7820000000002</v>
      </c>
      <c r="L57" s="35">
        <v>727.57280000000003</v>
      </c>
      <c r="M57" s="35">
        <v>2488.3548000000001</v>
      </c>
      <c r="N57" s="70">
        <v>1.89E-3</v>
      </c>
      <c r="O57" s="75">
        <v>7.0000000000000001E-3</v>
      </c>
    </row>
    <row r="58" spans="1:15" x14ac:dyDescent="0.2">
      <c r="A58" s="82">
        <v>15</v>
      </c>
      <c r="B58" s="26">
        <v>201.4</v>
      </c>
      <c r="C58" s="27">
        <v>858.75919999999996</v>
      </c>
      <c r="D58" s="28">
        <v>1932.9059999999999</v>
      </c>
      <c r="E58" s="28">
        <v>2791.6651999999999</v>
      </c>
      <c r="F58" s="69">
        <v>1.1590000000000001E-3</v>
      </c>
      <c r="G58" s="71">
        <v>0.1236</v>
      </c>
      <c r="H58" s="24"/>
      <c r="I58" s="80">
        <v>190</v>
      </c>
      <c r="J58" s="26">
        <v>361.9</v>
      </c>
      <c r="K58" s="27">
        <v>1783.3442000000002</v>
      </c>
      <c r="L58" s="28">
        <v>681.75060000000008</v>
      </c>
      <c r="M58" s="28">
        <v>2465.0948000000003</v>
      </c>
      <c r="N58" s="69">
        <v>1.9369999999999999E-3</v>
      </c>
      <c r="O58" s="74">
        <v>6.5970000000000004E-3</v>
      </c>
    </row>
    <row r="59" spans="1:15" ht="13.5" thickBot="1" x14ac:dyDescent="0.25">
      <c r="A59" s="81">
        <v>15.5</v>
      </c>
      <c r="B59" s="33">
        <v>202.9</v>
      </c>
      <c r="C59" s="34">
        <v>865.5046000000001</v>
      </c>
      <c r="D59" s="35">
        <v>1927.3236000000002</v>
      </c>
      <c r="E59" s="35">
        <v>2792.8282000000004</v>
      </c>
      <c r="F59" s="70">
        <v>1.1609999999999999E-3</v>
      </c>
      <c r="G59" s="72">
        <v>0.12</v>
      </c>
      <c r="H59" s="24"/>
      <c r="I59" s="78">
        <v>195</v>
      </c>
      <c r="J59" s="26">
        <v>364</v>
      </c>
      <c r="K59" s="27">
        <v>1807.0694000000001</v>
      </c>
      <c r="L59" s="28">
        <v>632.67200000000003</v>
      </c>
      <c r="M59" s="28">
        <v>2439.7413999999999</v>
      </c>
      <c r="N59" s="69">
        <v>1.9910000000000001E-3</v>
      </c>
      <c r="O59" s="74">
        <v>6.1960000000000001E-3</v>
      </c>
    </row>
    <row r="60" spans="1:15" x14ac:dyDescent="0.2">
      <c r="A60" s="82">
        <v>16</v>
      </c>
      <c r="B60" s="26">
        <v>204.3</v>
      </c>
      <c r="C60" s="27">
        <v>872.01739999999995</v>
      </c>
      <c r="D60" s="28">
        <v>1921.2760000000001</v>
      </c>
      <c r="E60" s="28">
        <v>2793.2934</v>
      </c>
      <c r="F60" s="69">
        <v>1.163E-3</v>
      </c>
      <c r="G60" s="71">
        <v>0.11650000000000001</v>
      </c>
      <c r="H60" s="24"/>
      <c r="I60" s="79">
        <v>200</v>
      </c>
      <c r="J60" s="26">
        <v>366.1</v>
      </c>
      <c r="K60" s="27">
        <v>1832.1902000000002</v>
      </c>
      <c r="L60" s="28">
        <v>579.40660000000003</v>
      </c>
      <c r="M60" s="28">
        <v>2411.5968000000003</v>
      </c>
      <c r="N60" s="69">
        <v>2.052E-3</v>
      </c>
      <c r="O60" s="74">
        <v>5.7920000000000003E-3</v>
      </c>
    </row>
    <row r="61" spans="1:15" ht="13.5" thickBot="1" x14ac:dyDescent="0.25">
      <c r="A61" s="81">
        <v>16.5</v>
      </c>
      <c r="B61" s="33">
        <v>205.8</v>
      </c>
      <c r="C61" s="34">
        <v>878.2976000000001</v>
      </c>
      <c r="D61" s="35">
        <v>1915.6936000000001</v>
      </c>
      <c r="E61" s="35">
        <v>2793.9912000000004</v>
      </c>
      <c r="F61" s="70">
        <v>1.1659999999999999E-3</v>
      </c>
      <c r="G61" s="72">
        <v>0.1133</v>
      </c>
      <c r="H61" s="24"/>
      <c r="I61" s="80">
        <v>205</v>
      </c>
      <c r="J61" s="33">
        <v>368.2</v>
      </c>
      <c r="K61" s="34">
        <v>1860.3347999999999</v>
      </c>
      <c r="L61" s="35">
        <v>518.2328</v>
      </c>
      <c r="M61" s="35">
        <v>2378.5675999999999</v>
      </c>
      <c r="N61" s="70">
        <v>2.1280000000000001E-3</v>
      </c>
      <c r="O61" s="75">
        <v>5.3749999999999996E-3</v>
      </c>
    </row>
    <row r="62" spans="1:15" x14ac:dyDescent="0.2">
      <c r="A62" s="82">
        <v>17</v>
      </c>
      <c r="B62" s="26">
        <v>207.1</v>
      </c>
      <c r="C62" s="27">
        <v>884.81039999999996</v>
      </c>
      <c r="D62" s="28">
        <v>1910.1112000000001</v>
      </c>
      <c r="E62" s="28">
        <v>2794.9216000000001</v>
      </c>
      <c r="F62" s="69">
        <v>1.168E-3</v>
      </c>
      <c r="G62" s="71">
        <v>0.11020000000000001</v>
      </c>
      <c r="H62" s="24"/>
      <c r="I62" s="80">
        <v>210</v>
      </c>
      <c r="J62" s="26">
        <v>370.2</v>
      </c>
      <c r="K62" s="27">
        <v>1896.1552000000001</v>
      </c>
      <c r="L62" s="28">
        <v>438.9162</v>
      </c>
      <c r="M62" s="28">
        <v>2335.0714000000003</v>
      </c>
      <c r="N62" s="69">
        <v>2.2360000000000001E-3</v>
      </c>
      <c r="O62" s="74">
        <v>4.9109999999999996E-3</v>
      </c>
    </row>
    <row r="63" spans="1:15" ht="13.5" thickBot="1" x14ac:dyDescent="0.25">
      <c r="A63" s="83">
        <v>17.5</v>
      </c>
      <c r="B63" s="33">
        <v>208.5</v>
      </c>
      <c r="C63" s="34">
        <v>890.85800000000006</v>
      </c>
      <c r="D63" s="35">
        <v>1904.5288</v>
      </c>
      <c r="E63" s="35">
        <v>2795.3868000000002</v>
      </c>
      <c r="F63" s="70">
        <v>1.17E-3</v>
      </c>
      <c r="G63" s="72">
        <v>0.10730000000000001</v>
      </c>
      <c r="H63" s="44"/>
      <c r="I63" s="84">
        <v>220.21799999999999</v>
      </c>
      <c r="J63" s="33">
        <v>374.2</v>
      </c>
      <c r="K63" s="34">
        <v>2107.3560000000002</v>
      </c>
      <c r="L63" s="35">
        <v>0</v>
      </c>
      <c r="M63" s="35">
        <v>2107.3560000000002</v>
      </c>
      <c r="N63" s="70">
        <v>3.1700000000000001E-3</v>
      </c>
      <c r="O63" s="75">
        <v>3.1700000000000001E-3</v>
      </c>
    </row>
    <row r="64" spans="1:15" x14ac:dyDescent="0.2">
      <c r="A64" s="1"/>
      <c r="B64" s="1"/>
      <c r="C64" s="1"/>
      <c r="D64" s="1"/>
      <c r="E64" s="1"/>
      <c r="H64" s="47"/>
      <c r="I64" s="47"/>
      <c r="J64" s="47"/>
      <c r="K64" s="47"/>
      <c r="L64" s="47"/>
      <c r="M64" s="47"/>
      <c r="N64" s="48"/>
      <c r="O64" s="49"/>
    </row>
    <row r="65" spans="1:15" x14ac:dyDescent="0.2">
      <c r="A65" s="338"/>
      <c r="B65" s="338"/>
      <c r="C65" s="1"/>
      <c r="D65" s="1"/>
      <c r="E65" s="1"/>
      <c r="H65" s="47"/>
      <c r="I65" s="47"/>
      <c r="J65" s="47"/>
      <c r="K65" s="47"/>
      <c r="L65" s="47"/>
      <c r="M65" s="47"/>
      <c r="N65" s="48"/>
      <c r="O65" s="49"/>
    </row>
    <row r="66" spans="1:15" x14ac:dyDescent="0.2">
      <c r="A66" s="1"/>
      <c r="B66" s="1"/>
      <c r="C66" s="1"/>
      <c r="D66" s="1"/>
      <c r="E66" s="1"/>
      <c r="H66" s="47"/>
      <c r="I66" s="47"/>
      <c r="J66" s="47"/>
      <c r="K66" s="47"/>
      <c r="L66" s="47"/>
      <c r="M66" s="47"/>
      <c r="N66" s="48"/>
      <c r="O66" s="49"/>
    </row>
    <row r="67" spans="1:15" x14ac:dyDescent="0.2">
      <c r="A67" s="1"/>
      <c r="B67" s="1"/>
      <c r="C67" s="1"/>
      <c r="D67" s="1"/>
      <c r="E67" s="1"/>
      <c r="H67" s="47"/>
      <c r="I67" s="47"/>
      <c r="J67" s="47"/>
      <c r="K67" s="47"/>
      <c r="L67" s="47"/>
      <c r="M67" s="47"/>
      <c r="N67" s="48"/>
      <c r="O67" s="49"/>
    </row>
    <row r="68" spans="1:15" x14ac:dyDescent="0.2">
      <c r="A68" s="1"/>
      <c r="B68" s="1"/>
      <c r="C68" s="1"/>
      <c r="D68" s="1"/>
      <c r="E68" s="1"/>
      <c r="H68" s="47"/>
      <c r="I68" s="47"/>
      <c r="J68" s="47"/>
      <c r="K68" s="47"/>
      <c r="L68" s="47"/>
      <c r="M68" s="47"/>
      <c r="N68" s="48"/>
      <c r="O68" s="49"/>
    </row>
    <row r="69" spans="1:15" x14ac:dyDescent="0.2">
      <c r="A69" s="1"/>
      <c r="B69" s="1"/>
      <c r="C69" s="1"/>
      <c r="D69" s="1"/>
      <c r="E69" s="1"/>
      <c r="H69" s="47"/>
      <c r="I69" s="47"/>
      <c r="J69" s="47"/>
      <c r="K69" s="47"/>
      <c r="L69" s="47"/>
      <c r="M69" s="47"/>
      <c r="N69" s="48"/>
      <c r="O69" s="49"/>
    </row>
    <row r="70" spans="1:15" x14ac:dyDescent="0.2">
      <c r="A70" s="1"/>
      <c r="B70" s="1"/>
      <c r="C70" s="1"/>
      <c r="D70" s="1"/>
      <c r="E70" s="1"/>
      <c r="H70" s="47"/>
      <c r="I70" s="47"/>
      <c r="J70" s="47"/>
      <c r="K70" s="47"/>
      <c r="L70" s="47"/>
      <c r="M70" s="47"/>
      <c r="N70" s="48"/>
      <c r="O70" s="49"/>
    </row>
    <row r="71" spans="1:15" x14ac:dyDescent="0.2">
      <c r="A71" s="1"/>
      <c r="B71" s="1"/>
      <c r="C71" s="1"/>
      <c r="D71" s="1"/>
      <c r="E71" s="1"/>
      <c r="H71" s="47"/>
      <c r="I71" s="47"/>
      <c r="J71" s="47"/>
      <c r="K71" s="47"/>
      <c r="L71" s="47"/>
      <c r="M71" s="47"/>
      <c r="N71" s="48"/>
      <c r="O71" s="49"/>
    </row>
    <row r="72" spans="1:15" x14ac:dyDescent="0.2">
      <c r="A72" s="1"/>
      <c r="B72" s="1"/>
      <c r="C72" s="1"/>
      <c r="D72" s="1"/>
      <c r="E72" s="1"/>
      <c r="H72" s="47"/>
      <c r="I72" s="47"/>
      <c r="J72" s="47"/>
      <c r="K72" s="47"/>
      <c r="L72" s="47"/>
      <c r="M72" s="47"/>
      <c r="N72" s="48"/>
      <c r="O72" s="49"/>
    </row>
    <row r="73" spans="1:15" x14ac:dyDescent="0.2">
      <c r="A73" s="1"/>
      <c r="B73" s="1"/>
      <c r="C73" s="1"/>
      <c r="D73" s="1"/>
      <c r="E73" s="1"/>
      <c r="H73" s="47"/>
      <c r="I73" s="47"/>
      <c r="J73" s="47"/>
      <c r="K73" s="47"/>
      <c r="L73" s="47"/>
      <c r="M73" s="47"/>
      <c r="N73" s="48"/>
      <c r="O73" s="49"/>
    </row>
    <row r="74" spans="1:15" x14ac:dyDescent="0.2">
      <c r="A74" s="1"/>
      <c r="B74" s="1"/>
      <c r="C74" s="1"/>
      <c r="D74" s="1"/>
      <c r="E74" s="1"/>
      <c r="H74" s="47"/>
      <c r="I74" s="47"/>
      <c r="J74" s="47"/>
      <c r="K74" s="47"/>
      <c r="L74" s="47"/>
      <c r="M74" s="47"/>
      <c r="N74" s="48"/>
      <c r="O74" s="49"/>
    </row>
    <row r="75" spans="1:15" x14ac:dyDescent="0.2">
      <c r="A75" s="1"/>
      <c r="B75" s="1"/>
      <c r="C75" s="1"/>
      <c r="D75" s="1"/>
      <c r="E75" s="1"/>
      <c r="H75" s="47"/>
      <c r="I75" s="47"/>
      <c r="J75" s="47"/>
      <c r="K75" s="47"/>
      <c r="L75" s="47"/>
      <c r="M75" s="47"/>
      <c r="N75" s="48"/>
      <c r="O75" s="49"/>
    </row>
    <row r="76" spans="1:15" x14ac:dyDescent="0.2">
      <c r="A76" s="1"/>
      <c r="B76" s="1"/>
      <c r="C76" s="1"/>
      <c r="D76" s="1"/>
      <c r="E76" s="1"/>
      <c r="H76" s="47"/>
      <c r="I76" s="47"/>
      <c r="J76" s="47"/>
      <c r="K76" s="47"/>
      <c r="L76" s="47"/>
      <c r="M76" s="47"/>
      <c r="N76" s="48"/>
      <c r="O76" s="49"/>
    </row>
    <row r="77" spans="1:15" x14ac:dyDescent="0.2">
      <c r="A77" s="1"/>
      <c r="B77" s="1"/>
      <c r="C77" s="1"/>
      <c r="D77" s="1"/>
      <c r="E77" s="1"/>
      <c r="H77" s="47"/>
      <c r="I77" s="47"/>
      <c r="J77" s="47"/>
      <c r="K77" s="47"/>
      <c r="L77" s="47"/>
      <c r="M77" s="47"/>
      <c r="N77" s="48"/>
      <c r="O77" s="49"/>
    </row>
    <row r="78" spans="1:15" x14ac:dyDescent="0.2">
      <c r="A78" s="1"/>
      <c r="B78" s="1"/>
      <c r="C78" s="1"/>
      <c r="D78" s="1"/>
      <c r="E78" s="1"/>
      <c r="H78" s="47"/>
      <c r="I78" s="47"/>
      <c r="J78" s="47"/>
      <c r="K78" s="47"/>
      <c r="L78" s="47"/>
      <c r="M78" s="47"/>
      <c r="N78" s="48"/>
      <c r="O78" s="49"/>
    </row>
    <row r="79" spans="1:15" x14ac:dyDescent="0.2">
      <c r="A79" s="1"/>
      <c r="B79" s="1"/>
      <c r="C79" s="1"/>
      <c r="D79" s="1"/>
      <c r="E79" s="1"/>
      <c r="H79" s="47"/>
      <c r="I79" s="47"/>
      <c r="J79" s="47"/>
      <c r="K79" s="47"/>
      <c r="L79" s="47"/>
      <c r="M79" s="47"/>
      <c r="N79" s="48"/>
      <c r="O79" s="49"/>
    </row>
    <row r="80" spans="1:15" x14ac:dyDescent="0.2">
      <c r="A80" s="1"/>
      <c r="B80" s="1"/>
      <c r="C80" s="1"/>
      <c r="D80" s="1"/>
      <c r="E80" s="1"/>
      <c r="H80" s="47"/>
      <c r="I80" s="47"/>
      <c r="J80" s="47"/>
      <c r="K80" s="47"/>
      <c r="L80" s="47"/>
      <c r="M80" s="47"/>
      <c r="N80" s="48"/>
      <c r="O80" s="49"/>
    </row>
    <row r="81" spans="1:15" x14ac:dyDescent="0.2">
      <c r="A81" s="1"/>
      <c r="B81" s="1"/>
      <c r="C81" s="1"/>
      <c r="D81" s="1"/>
      <c r="E81" s="1"/>
      <c r="H81" s="47"/>
      <c r="I81" s="47"/>
      <c r="J81" s="47"/>
      <c r="K81" s="47"/>
      <c r="L81" s="47"/>
      <c r="M81" s="47"/>
      <c r="N81" s="48"/>
      <c r="O81" s="49"/>
    </row>
    <row r="82" spans="1:15" x14ac:dyDescent="0.2">
      <c r="A82" s="1"/>
      <c r="B82" s="1"/>
      <c r="C82" s="1"/>
      <c r="D82" s="1"/>
      <c r="E82" s="1"/>
      <c r="H82" s="47"/>
      <c r="I82" s="47"/>
      <c r="J82" s="47"/>
      <c r="K82" s="47"/>
      <c r="L82" s="47"/>
      <c r="M82" s="47"/>
      <c r="N82" s="48"/>
      <c r="O82" s="49"/>
    </row>
    <row r="83" spans="1:15" x14ac:dyDescent="0.2">
      <c r="A83" s="1"/>
      <c r="B83" s="1"/>
      <c r="C83" s="1"/>
      <c r="D83" s="1"/>
      <c r="E83" s="1"/>
      <c r="H83" s="47"/>
      <c r="I83" s="47"/>
      <c r="J83" s="47"/>
      <c r="K83" s="47"/>
      <c r="L83" s="47"/>
      <c r="M83" s="47"/>
      <c r="N83" s="48"/>
      <c r="O83" s="49"/>
    </row>
    <row r="84" spans="1:15" x14ac:dyDescent="0.2">
      <c r="A84" s="1"/>
      <c r="B84" s="1"/>
      <c r="C84" s="1"/>
      <c r="D84" s="1"/>
      <c r="E84" s="1"/>
      <c r="H84" s="47"/>
      <c r="I84" s="47"/>
      <c r="J84" s="47"/>
      <c r="K84" s="47"/>
      <c r="L84" s="47"/>
      <c r="M84" s="47"/>
      <c r="N84" s="48"/>
      <c r="O84" s="49"/>
    </row>
    <row r="85" spans="1:15" x14ac:dyDescent="0.2">
      <c r="A85" s="1"/>
      <c r="B85" s="1"/>
      <c r="C85" s="1"/>
      <c r="D85" s="1"/>
      <c r="E85" s="1"/>
      <c r="H85" s="47"/>
      <c r="I85" s="47"/>
      <c r="J85" s="47"/>
      <c r="K85" s="47"/>
      <c r="L85" s="47"/>
      <c r="M85" s="47"/>
      <c r="N85" s="48"/>
      <c r="O85" s="49"/>
    </row>
    <row r="86" spans="1:15" x14ac:dyDescent="0.2">
      <c r="A86" s="1"/>
      <c r="B86" s="1"/>
      <c r="C86" s="1"/>
      <c r="D86" s="1"/>
      <c r="E86" s="1"/>
      <c r="H86" s="47"/>
      <c r="I86" s="47"/>
      <c r="J86" s="47"/>
      <c r="K86" s="47"/>
      <c r="L86" s="47"/>
      <c r="M86" s="47"/>
      <c r="N86" s="48"/>
      <c r="O86" s="49"/>
    </row>
    <row r="87" spans="1:15" x14ac:dyDescent="0.2">
      <c r="A87" s="1"/>
      <c r="B87" s="1"/>
      <c r="C87" s="1"/>
      <c r="D87" s="1"/>
      <c r="E87" s="1"/>
      <c r="H87" s="47"/>
      <c r="I87" s="47"/>
      <c r="J87" s="47"/>
      <c r="K87" s="47"/>
      <c r="L87" s="47"/>
      <c r="M87" s="47"/>
      <c r="N87" s="48"/>
      <c r="O87" s="49"/>
    </row>
    <row r="88" spans="1:15" x14ac:dyDescent="0.2">
      <c r="A88" s="1"/>
      <c r="B88" s="1"/>
      <c r="C88" s="1"/>
      <c r="D88" s="1"/>
      <c r="E88" s="1"/>
      <c r="H88" s="47"/>
      <c r="I88" s="47"/>
      <c r="J88" s="47"/>
      <c r="K88" s="47"/>
      <c r="L88" s="47"/>
      <c r="M88" s="47"/>
      <c r="N88" s="48"/>
      <c r="O88" s="49"/>
    </row>
    <row r="89" spans="1:15" x14ac:dyDescent="0.2">
      <c r="A89" s="1"/>
      <c r="B89" s="1"/>
      <c r="C89" s="1"/>
      <c r="D89" s="1"/>
      <c r="E89" s="1"/>
      <c r="H89" s="47"/>
      <c r="I89" s="47"/>
      <c r="J89" s="47"/>
      <c r="K89" s="47"/>
      <c r="L89" s="47"/>
      <c r="M89" s="47"/>
      <c r="N89" s="48"/>
      <c r="O89" s="49"/>
    </row>
    <row r="90" spans="1:15" x14ac:dyDescent="0.2">
      <c r="A90" s="1"/>
      <c r="B90" s="1"/>
      <c r="C90" s="1"/>
      <c r="D90" s="1"/>
      <c r="E90" s="1"/>
      <c r="H90" s="47"/>
      <c r="I90" s="47"/>
      <c r="J90" s="47"/>
      <c r="K90" s="47"/>
      <c r="L90" s="47"/>
      <c r="M90" s="47"/>
      <c r="N90" s="48"/>
      <c r="O90" s="49"/>
    </row>
    <row r="91" spans="1:15" x14ac:dyDescent="0.2">
      <c r="A91" s="1"/>
      <c r="B91" s="1"/>
      <c r="C91" s="1"/>
      <c r="D91" s="1"/>
      <c r="E91" s="1"/>
      <c r="H91" s="47"/>
      <c r="I91" s="47"/>
      <c r="J91" s="47"/>
      <c r="K91" s="47"/>
      <c r="L91" s="47"/>
      <c r="M91" s="47"/>
      <c r="N91" s="48"/>
      <c r="O91" s="49"/>
    </row>
    <row r="92" spans="1:15" x14ac:dyDescent="0.2">
      <c r="A92" s="1"/>
      <c r="B92" s="1"/>
      <c r="C92" s="1"/>
      <c r="D92" s="1"/>
      <c r="E92" s="1"/>
      <c r="H92" s="47"/>
      <c r="I92" s="47"/>
      <c r="J92" s="47"/>
      <c r="K92" s="47"/>
      <c r="L92" s="47"/>
      <c r="M92" s="47"/>
      <c r="N92" s="48"/>
      <c r="O92" s="49"/>
    </row>
    <row r="93" spans="1:15" x14ac:dyDescent="0.2">
      <c r="A93" s="1"/>
      <c r="B93" s="1"/>
      <c r="C93" s="1"/>
      <c r="D93" s="1"/>
      <c r="E93" s="1"/>
      <c r="H93" s="47"/>
      <c r="I93" s="47"/>
      <c r="J93" s="47"/>
      <c r="K93" s="47"/>
      <c r="L93" s="47"/>
      <c r="M93" s="47"/>
      <c r="N93" s="48"/>
      <c r="O93" s="49"/>
    </row>
    <row r="94" spans="1:15" x14ac:dyDescent="0.2">
      <c r="A94" s="1"/>
      <c r="B94" s="1"/>
      <c r="C94" s="1"/>
      <c r="D94" s="1"/>
      <c r="E94" s="1"/>
      <c r="H94" s="47"/>
      <c r="I94" s="47"/>
      <c r="J94" s="47"/>
      <c r="K94" s="47"/>
      <c r="L94" s="47"/>
      <c r="M94" s="47"/>
      <c r="N94" s="48"/>
      <c r="O94" s="49"/>
    </row>
    <row r="95" spans="1:15" x14ac:dyDescent="0.2">
      <c r="A95" s="1"/>
      <c r="B95" s="1"/>
      <c r="C95" s="1"/>
      <c r="D95" s="1"/>
      <c r="E95" s="1"/>
      <c r="H95" s="47"/>
      <c r="I95" s="47"/>
      <c r="J95" s="47"/>
      <c r="K95" s="47"/>
      <c r="L95" s="47"/>
      <c r="M95" s="47"/>
      <c r="N95" s="48"/>
      <c r="O95" s="49"/>
    </row>
    <row r="96" spans="1:15" x14ac:dyDescent="0.2">
      <c r="A96" s="1"/>
      <c r="B96" s="1"/>
      <c r="C96" s="1"/>
      <c r="D96" s="1"/>
      <c r="E96" s="1"/>
      <c r="H96" s="47"/>
      <c r="I96" s="47"/>
      <c r="J96" s="47"/>
      <c r="K96" s="47"/>
      <c r="L96" s="47"/>
      <c r="M96" s="47"/>
      <c r="N96" s="48"/>
      <c r="O96" s="49"/>
    </row>
    <row r="97" spans="1:15" x14ac:dyDescent="0.2">
      <c r="A97" s="1"/>
      <c r="B97" s="1"/>
      <c r="C97" s="1"/>
      <c r="D97" s="1"/>
      <c r="E97" s="1"/>
      <c r="H97" s="47"/>
      <c r="I97" s="47"/>
      <c r="J97" s="47"/>
      <c r="K97" s="47"/>
      <c r="L97" s="47"/>
      <c r="M97" s="47"/>
      <c r="N97" s="48"/>
      <c r="O97" s="49"/>
    </row>
    <row r="98" spans="1:15" x14ac:dyDescent="0.2">
      <c r="A98" s="1"/>
      <c r="B98" s="1"/>
      <c r="C98" s="1"/>
      <c r="D98" s="1"/>
      <c r="E98" s="1"/>
      <c r="H98" s="47"/>
      <c r="I98" s="47"/>
      <c r="J98" s="47"/>
      <c r="K98" s="47"/>
      <c r="L98" s="47"/>
      <c r="M98" s="47"/>
      <c r="N98" s="48"/>
      <c r="O98" s="49"/>
    </row>
    <row r="99" spans="1:15" x14ac:dyDescent="0.2">
      <c r="A99" s="1"/>
      <c r="B99" s="1"/>
      <c r="C99" s="1"/>
      <c r="D99" s="1"/>
      <c r="E99" s="1"/>
      <c r="H99" s="47"/>
      <c r="I99" s="47"/>
      <c r="J99" s="47"/>
      <c r="K99" s="47"/>
      <c r="L99" s="47"/>
      <c r="M99" s="47"/>
      <c r="N99" s="48"/>
      <c r="O99" s="49"/>
    </row>
    <row r="100" spans="1:15" x14ac:dyDescent="0.2">
      <c r="A100" s="1"/>
      <c r="B100" s="1"/>
      <c r="C100" s="1"/>
      <c r="D100" s="1"/>
      <c r="E100" s="1"/>
      <c r="H100" s="47"/>
      <c r="I100" s="47"/>
      <c r="J100" s="47"/>
      <c r="K100" s="47"/>
      <c r="L100" s="47"/>
      <c r="M100" s="47"/>
      <c r="N100" s="48"/>
      <c r="O100" s="49"/>
    </row>
    <row r="101" spans="1:15" x14ac:dyDescent="0.2">
      <c r="A101" s="1"/>
      <c r="B101" s="1"/>
      <c r="C101" s="1"/>
      <c r="D101" s="1"/>
      <c r="E101" s="1"/>
      <c r="H101" s="47"/>
      <c r="I101" s="47"/>
      <c r="J101" s="47"/>
      <c r="K101" s="47"/>
      <c r="L101" s="47"/>
      <c r="M101" s="47"/>
      <c r="N101" s="48"/>
      <c r="O101" s="49"/>
    </row>
    <row r="102" spans="1:15" x14ac:dyDescent="0.2">
      <c r="A102" s="1"/>
      <c r="B102" s="1"/>
      <c r="C102" s="1"/>
      <c r="D102" s="1"/>
      <c r="E102" s="1"/>
      <c r="H102" s="47"/>
      <c r="I102" s="47"/>
      <c r="J102" s="47"/>
      <c r="K102" s="47"/>
      <c r="L102" s="47"/>
      <c r="M102" s="47"/>
      <c r="N102" s="48"/>
      <c r="O102" s="49"/>
    </row>
    <row r="103" spans="1:15" x14ac:dyDescent="0.2">
      <c r="A103" s="1"/>
      <c r="B103" s="1"/>
      <c r="C103" s="1"/>
      <c r="D103" s="1"/>
      <c r="E103" s="1"/>
      <c r="H103" s="47"/>
      <c r="I103" s="47"/>
      <c r="J103" s="47"/>
      <c r="K103" s="47"/>
      <c r="L103" s="47"/>
      <c r="M103" s="47"/>
      <c r="N103" s="48"/>
      <c r="O103" s="49"/>
    </row>
    <row r="104" spans="1:15" x14ac:dyDescent="0.2">
      <c r="A104" s="1"/>
      <c r="B104" s="1"/>
      <c r="C104" s="1"/>
      <c r="D104" s="1"/>
      <c r="E104" s="1"/>
      <c r="H104" s="47"/>
      <c r="I104" s="47"/>
      <c r="J104" s="47"/>
      <c r="K104" s="47"/>
      <c r="L104" s="47"/>
      <c r="M104" s="47"/>
      <c r="N104" s="48"/>
      <c r="O104" s="49"/>
    </row>
    <row r="105" spans="1:15" x14ac:dyDescent="0.2">
      <c r="A105" s="1"/>
      <c r="B105" s="1"/>
      <c r="C105" s="1"/>
      <c r="D105" s="1"/>
      <c r="E105" s="1"/>
      <c r="H105" s="47"/>
      <c r="I105" s="47"/>
      <c r="J105" s="47"/>
      <c r="K105" s="47"/>
      <c r="L105" s="47"/>
      <c r="M105" s="47"/>
      <c r="N105" s="48"/>
      <c r="O105" s="49"/>
    </row>
    <row r="106" spans="1:15" x14ac:dyDescent="0.2">
      <c r="A106" s="1"/>
      <c r="B106" s="1"/>
      <c r="C106" s="1"/>
      <c r="D106" s="1"/>
      <c r="E106" s="1"/>
      <c r="H106" s="47"/>
      <c r="I106" s="47"/>
      <c r="J106" s="47"/>
      <c r="K106" s="47"/>
      <c r="L106" s="47"/>
      <c r="M106" s="47"/>
      <c r="N106" s="48"/>
      <c r="O106" s="49"/>
    </row>
    <row r="107" spans="1:15" x14ac:dyDescent="0.2">
      <c r="A107" s="1"/>
      <c r="B107" s="1"/>
      <c r="C107" s="1"/>
      <c r="D107" s="1"/>
      <c r="E107" s="1"/>
      <c r="H107" s="47"/>
      <c r="I107" s="47"/>
      <c r="J107" s="47"/>
      <c r="K107" s="47"/>
      <c r="L107" s="47"/>
      <c r="M107" s="47"/>
      <c r="N107" s="48"/>
      <c r="O107" s="49"/>
    </row>
    <row r="108" spans="1:15" x14ac:dyDescent="0.2">
      <c r="A108" s="1"/>
      <c r="B108" s="1"/>
      <c r="C108" s="1"/>
      <c r="D108" s="1"/>
      <c r="E108" s="1"/>
      <c r="H108" s="47"/>
      <c r="I108" s="47"/>
      <c r="J108" s="47"/>
      <c r="K108" s="47"/>
      <c r="L108" s="47"/>
      <c r="M108" s="47"/>
      <c r="N108" s="48"/>
      <c r="O108" s="49"/>
    </row>
    <row r="109" spans="1:15" x14ac:dyDescent="0.2">
      <c r="A109" s="1"/>
      <c r="B109" s="1"/>
      <c r="C109" s="1"/>
      <c r="D109" s="1"/>
      <c r="E109" s="1"/>
      <c r="H109" s="47"/>
      <c r="I109" s="47"/>
      <c r="J109" s="47"/>
      <c r="K109" s="47"/>
      <c r="L109" s="47"/>
      <c r="M109" s="47"/>
      <c r="N109" s="48"/>
      <c r="O109" s="49"/>
    </row>
    <row r="110" spans="1:15" x14ac:dyDescent="0.2">
      <c r="A110" s="1"/>
      <c r="B110" s="1"/>
      <c r="C110" s="1"/>
      <c r="D110" s="1"/>
      <c r="E110" s="1"/>
      <c r="H110" s="47"/>
      <c r="I110" s="47"/>
      <c r="J110" s="47"/>
      <c r="K110" s="47"/>
      <c r="L110" s="47"/>
      <c r="M110" s="47"/>
      <c r="N110" s="48"/>
      <c r="O110" s="49"/>
    </row>
    <row r="111" spans="1:15" x14ac:dyDescent="0.2">
      <c r="A111" s="1"/>
      <c r="B111" s="1"/>
      <c r="C111" s="1"/>
      <c r="D111" s="1"/>
      <c r="E111" s="1"/>
      <c r="H111" s="47"/>
      <c r="I111" s="47"/>
      <c r="J111" s="47"/>
      <c r="K111" s="47"/>
      <c r="L111" s="47"/>
      <c r="M111" s="47"/>
      <c r="N111" s="48"/>
      <c r="O111" s="49"/>
    </row>
    <row r="112" spans="1:15" x14ac:dyDescent="0.2">
      <c r="A112" s="1"/>
      <c r="B112" s="1"/>
      <c r="C112" s="1"/>
      <c r="D112" s="1"/>
      <c r="E112" s="1"/>
      <c r="H112" s="47"/>
      <c r="I112" s="47"/>
      <c r="J112" s="47"/>
      <c r="K112" s="47"/>
      <c r="L112" s="47"/>
      <c r="M112" s="47"/>
      <c r="N112" s="48"/>
      <c r="O112" s="49"/>
    </row>
    <row r="113" spans="1:15" x14ac:dyDescent="0.2">
      <c r="A113" s="1"/>
      <c r="B113" s="1"/>
      <c r="C113" s="1"/>
      <c r="D113" s="1"/>
      <c r="E113" s="1"/>
      <c r="H113" s="47"/>
      <c r="I113" s="47"/>
      <c r="J113" s="47"/>
      <c r="K113" s="47"/>
      <c r="L113" s="47"/>
      <c r="M113" s="47"/>
      <c r="N113" s="48"/>
      <c r="O113" s="49"/>
    </row>
    <row r="114" spans="1:15" x14ac:dyDescent="0.2">
      <c r="A114" s="1"/>
      <c r="B114" s="1"/>
      <c r="C114" s="1"/>
      <c r="D114" s="1"/>
      <c r="E114" s="1"/>
      <c r="H114" s="47"/>
      <c r="I114" s="47"/>
      <c r="J114" s="47"/>
      <c r="K114" s="47"/>
      <c r="L114" s="47"/>
      <c r="M114" s="47"/>
      <c r="N114" s="48"/>
      <c r="O114" s="49"/>
    </row>
    <row r="115" spans="1:15" x14ac:dyDescent="0.2">
      <c r="A115" s="1"/>
      <c r="B115" s="1"/>
      <c r="C115" s="1"/>
      <c r="D115" s="1"/>
      <c r="E115" s="1"/>
      <c r="H115" s="47"/>
      <c r="I115" s="47"/>
      <c r="J115" s="47"/>
      <c r="K115" s="47"/>
      <c r="L115" s="47"/>
      <c r="M115" s="47"/>
      <c r="N115" s="48"/>
      <c r="O115" s="49"/>
    </row>
    <row r="116" spans="1:15" x14ac:dyDescent="0.2">
      <c r="A116" s="1"/>
      <c r="B116" s="1"/>
      <c r="C116" s="1"/>
      <c r="D116" s="1"/>
      <c r="E116" s="1"/>
      <c r="H116" s="47"/>
      <c r="I116" s="47"/>
      <c r="J116" s="47"/>
      <c r="K116" s="47"/>
      <c r="L116" s="47"/>
      <c r="M116" s="47"/>
      <c r="N116" s="48"/>
      <c r="O116" s="49"/>
    </row>
    <row r="117" spans="1:15" x14ac:dyDescent="0.2">
      <c r="A117" s="1"/>
      <c r="B117" s="1"/>
      <c r="C117" s="1"/>
      <c r="D117" s="1"/>
      <c r="E117" s="1"/>
      <c r="H117" s="47"/>
      <c r="I117" s="47"/>
      <c r="J117" s="47"/>
      <c r="K117" s="47"/>
      <c r="L117" s="47"/>
      <c r="M117" s="47"/>
      <c r="N117" s="48"/>
      <c r="O117" s="49"/>
    </row>
    <row r="118" spans="1:15" x14ac:dyDescent="0.2">
      <c r="A118" s="1"/>
      <c r="B118" s="1"/>
      <c r="C118" s="1"/>
      <c r="D118" s="1"/>
      <c r="E118" s="1"/>
      <c r="H118" s="47"/>
      <c r="I118" s="47"/>
      <c r="J118" s="47"/>
      <c r="K118" s="47"/>
      <c r="L118" s="47"/>
      <c r="M118" s="47"/>
      <c r="N118" s="48"/>
      <c r="O118" s="49"/>
    </row>
    <row r="119" spans="1:15" x14ac:dyDescent="0.2">
      <c r="A119" s="1"/>
      <c r="B119" s="1"/>
      <c r="C119" s="1"/>
      <c r="D119" s="1"/>
      <c r="E119" s="1"/>
      <c r="H119" s="47"/>
      <c r="I119" s="47"/>
      <c r="J119" s="47"/>
      <c r="K119" s="47"/>
      <c r="L119" s="47"/>
      <c r="M119" s="47"/>
      <c r="N119" s="48"/>
      <c r="O119" s="49"/>
    </row>
    <row r="120" spans="1:15" x14ac:dyDescent="0.2">
      <c r="A120" s="1"/>
      <c r="B120" s="1"/>
      <c r="C120" s="1"/>
      <c r="D120" s="1"/>
      <c r="E120" s="1"/>
      <c r="H120" s="47"/>
      <c r="I120" s="47"/>
      <c r="J120" s="47"/>
      <c r="K120" s="47"/>
      <c r="L120" s="47"/>
      <c r="M120" s="47"/>
      <c r="N120" s="48"/>
      <c r="O120" s="49"/>
    </row>
    <row r="121" spans="1:15" ht="12.75" customHeight="1" x14ac:dyDescent="0.2">
      <c r="A121" s="1"/>
      <c r="B121" s="1"/>
      <c r="C121" s="1"/>
      <c r="D121" s="1"/>
      <c r="E121" s="1"/>
      <c r="H121" s="47"/>
      <c r="I121" s="47"/>
      <c r="J121" s="47"/>
      <c r="K121" s="47"/>
      <c r="L121" s="47"/>
      <c r="M121" s="47"/>
      <c r="N121" s="48"/>
      <c r="O121" s="49"/>
    </row>
  </sheetData>
  <sheetProtection algorithmName="SHA-512" hashValue="g9dpghNMnvgTbr3F392DHzx+BbbD62qXkNPbAGEiwodphTzAt4OmGT3gWWxllQbyuntrBDbku6ipYR/DsXRlFA==" saltValue="THvJT6aTPRniC6EJ5qSw8g==" spinCount="100000" sheet="1" objects="1" scenarios="1" autoFilter="0" pivotTables="0"/>
  <mergeCells count="2">
    <mergeCell ref="A1:O1"/>
    <mergeCell ref="A65:B65"/>
  </mergeCells>
  <pageMargins left="0.25" right="0.25" top="0.25" bottom="0.25" header="0" footer="0"/>
  <pageSetup scale="8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5058-A365-432A-8216-2C9E097BE906}">
  <sheetPr codeName="Sheet2"/>
  <dimension ref="A1:R60"/>
  <sheetViews>
    <sheetView workbookViewId="0">
      <selection activeCell="H12" sqref="H12"/>
    </sheetView>
  </sheetViews>
  <sheetFormatPr defaultColWidth="9.140625" defaultRowHeight="15" x14ac:dyDescent="0.25"/>
  <cols>
    <col min="1" max="1" width="19.42578125" style="192" customWidth="1"/>
    <col min="2" max="2" width="19.140625" style="192" customWidth="1"/>
    <col min="3" max="3" width="9.140625" style="251"/>
    <col min="4" max="4" width="9.140625" style="253"/>
    <col min="5" max="5" width="9.140625" style="251"/>
    <col min="6" max="6" width="10.140625" style="251" customWidth="1"/>
    <col min="7" max="7" width="9.140625" style="248"/>
    <col min="8" max="8" width="10.140625" style="248" customWidth="1"/>
    <col min="9" max="9" width="9.140625" style="248"/>
    <col min="10" max="13" width="9.140625" style="192"/>
    <col min="14" max="14" width="15.140625" style="192" customWidth="1"/>
    <col min="15" max="15" width="16.42578125" style="192" customWidth="1"/>
    <col min="16" max="16" width="20.85546875" style="192" customWidth="1"/>
    <col min="17" max="16384" width="9.140625" style="192"/>
  </cols>
  <sheetData>
    <row r="1" spans="1:18" s="193" customFormat="1" ht="28.5" customHeight="1" x14ac:dyDescent="0.25">
      <c r="A1" s="241" t="s">
        <v>178</v>
      </c>
      <c r="B1" s="241" t="s">
        <v>300</v>
      </c>
      <c r="C1" s="272" t="s">
        <v>177</v>
      </c>
      <c r="D1" s="273" t="s">
        <v>106</v>
      </c>
      <c r="E1" s="243" t="s">
        <v>184</v>
      </c>
      <c r="F1" s="243" t="s">
        <v>298</v>
      </c>
      <c r="G1" s="271" t="s">
        <v>230</v>
      </c>
      <c r="H1" s="244" t="s">
        <v>288</v>
      </c>
      <c r="I1" s="244" t="s">
        <v>285</v>
      </c>
      <c r="N1" s="237" t="s">
        <v>268</v>
      </c>
      <c r="O1" s="237" t="s">
        <v>269</v>
      </c>
      <c r="P1" s="237" t="s">
        <v>270</v>
      </c>
    </row>
    <row r="2" spans="1:18" x14ac:dyDescent="0.25">
      <c r="A2" s="240" t="s">
        <v>176</v>
      </c>
      <c r="B2" s="193" t="s">
        <v>283</v>
      </c>
      <c r="C2" s="245">
        <v>0.5</v>
      </c>
      <c r="D2" s="252">
        <v>1</v>
      </c>
      <c r="E2" s="246">
        <v>35</v>
      </c>
      <c r="F2" s="193" t="s">
        <v>296</v>
      </c>
      <c r="G2" s="247">
        <v>0.187</v>
      </c>
      <c r="H2" s="247">
        <v>2.746458837584537E-2</v>
      </c>
      <c r="N2" s="274">
        <v>0.5</v>
      </c>
      <c r="O2" s="238"/>
      <c r="P2" s="239">
        <v>0.38</v>
      </c>
      <c r="Q2" s="192">
        <f>PI() * (P2 / 2)^2</f>
        <v>0.11341149479459153</v>
      </c>
      <c r="R2" s="192">
        <f>PI() * ((P2 / 12) / 2)^2</f>
        <v>7.8757982496244141E-4</v>
      </c>
    </row>
    <row r="3" spans="1:18" s="193" customFormat="1" ht="15" customHeight="1" x14ac:dyDescent="0.25">
      <c r="A3" s="240" t="s">
        <v>175</v>
      </c>
      <c r="B3" s="193" t="s">
        <v>283</v>
      </c>
      <c r="C3" s="245">
        <v>0.5</v>
      </c>
      <c r="D3" s="252">
        <v>2</v>
      </c>
      <c r="E3" s="246">
        <v>35</v>
      </c>
      <c r="F3" s="193" t="s">
        <v>296</v>
      </c>
      <c r="G3" s="247">
        <v>0.28100000000000003</v>
      </c>
      <c r="H3" s="247">
        <v>6.2015824380025925E-2</v>
      </c>
      <c r="I3" s="249"/>
      <c r="N3" s="274">
        <v>0.75</v>
      </c>
      <c r="O3" s="238"/>
      <c r="P3" s="239">
        <v>0.5</v>
      </c>
      <c r="Q3" s="192">
        <f t="shared" ref="Q3:Q14" si="0">PI() * (P3 / 2)^2</f>
        <v>0.19634954084936207</v>
      </c>
    </row>
    <row r="4" spans="1:18" s="193" customFormat="1" ht="15" customHeight="1" x14ac:dyDescent="0.25">
      <c r="A4" s="240" t="s">
        <v>174</v>
      </c>
      <c r="B4" s="193" t="s">
        <v>283</v>
      </c>
      <c r="C4" s="245">
        <v>0.5</v>
      </c>
      <c r="D4" s="252">
        <v>4</v>
      </c>
      <c r="E4" s="246">
        <v>35</v>
      </c>
      <c r="F4" s="193" t="s">
        <v>296</v>
      </c>
      <c r="G4" s="247">
        <v>0.375</v>
      </c>
      <c r="H4" s="247">
        <v>0.11044661672776616</v>
      </c>
      <c r="I4" s="249"/>
      <c r="N4" s="274">
        <v>1</v>
      </c>
      <c r="O4" s="238"/>
      <c r="P4" s="239">
        <v>0.75</v>
      </c>
      <c r="Q4" s="192">
        <f t="shared" si="0"/>
        <v>0.44178646691106466</v>
      </c>
    </row>
    <row r="5" spans="1:18" s="193" customFormat="1" ht="15" customHeight="1" x14ac:dyDescent="0.25">
      <c r="A5" s="240" t="s">
        <v>173</v>
      </c>
      <c r="B5" s="193" t="s">
        <v>283</v>
      </c>
      <c r="C5" s="245">
        <v>0.5</v>
      </c>
      <c r="D5" s="252">
        <v>15</v>
      </c>
      <c r="E5" s="246">
        <v>35</v>
      </c>
      <c r="F5" s="193" t="s">
        <v>296</v>
      </c>
      <c r="G5" s="247">
        <v>0.5</v>
      </c>
      <c r="H5" s="247">
        <v>0.19634954084936207</v>
      </c>
      <c r="I5" s="249"/>
      <c r="N5" s="274">
        <v>1.25</v>
      </c>
      <c r="O5" s="238"/>
      <c r="P5" s="239">
        <v>1</v>
      </c>
      <c r="Q5" s="192">
        <f t="shared" si="0"/>
        <v>0.78539816339744828</v>
      </c>
    </row>
    <row r="6" spans="1:18" s="193" customFormat="1" ht="15" customHeight="1" x14ac:dyDescent="0.25">
      <c r="A6" s="240" t="s">
        <v>275</v>
      </c>
      <c r="B6" s="193" t="s">
        <v>283</v>
      </c>
      <c r="C6" s="245">
        <v>0.75</v>
      </c>
      <c r="D6" s="252">
        <v>30</v>
      </c>
      <c r="E6" s="246">
        <v>35</v>
      </c>
      <c r="F6" s="193" t="s">
        <v>296</v>
      </c>
      <c r="G6" s="247">
        <v>0.68</v>
      </c>
      <c r="H6" s="247">
        <v>0.36316811075498018</v>
      </c>
      <c r="I6" s="249"/>
      <c r="N6" s="274">
        <v>1.5</v>
      </c>
      <c r="O6" s="238"/>
      <c r="P6" s="239">
        <v>1.25</v>
      </c>
      <c r="Q6" s="192">
        <f t="shared" si="0"/>
        <v>1.227184630308513</v>
      </c>
    </row>
    <row r="7" spans="1:18" s="193" customFormat="1" ht="15" customHeight="1" x14ac:dyDescent="0.25">
      <c r="A7" s="240" t="s">
        <v>276</v>
      </c>
      <c r="B7" s="193" t="s">
        <v>283</v>
      </c>
      <c r="C7" s="245">
        <v>0.75</v>
      </c>
      <c r="D7" s="252">
        <v>51</v>
      </c>
      <c r="E7" s="246">
        <v>35</v>
      </c>
      <c r="F7" s="193" t="s">
        <v>296</v>
      </c>
      <c r="G7" s="247">
        <v>0.86</v>
      </c>
      <c r="H7" s="247">
        <v>0.58088048164875272</v>
      </c>
      <c r="I7" s="249"/>
      <c r="N7" s="274">
        <v>2</v>
      </c>
      <c r="O7" s="238"/>
      <c r="P7" s="239">
        <v>1.5</v>
      </c>
      <c r="Q7" s="192">
        <f t="shared" si="0"/>
        <v>1.7671458676442586</v>
      </c>
    </row>
    <row r="8" spans="1:18" s="193" customFormat="1" ht="15" customHeight="1" x14ac:dyDescent="0.25">
      <c r="A8" s="240" t="s">
        <v>277</v>
      </c>
      <c r="B8" s="193" t="s">
        <v>283</v>
      </c>
      <c r="C8" s="245">
        <v>1</v>
      </c>
      <c r="D8" s="252">
        <v>43</v>
      </c>
      <c r="E8" s="246">
        <v>35</v>
      </c>
      <c r="F8" s="193" t="s">
        <v>296</v>
      </c>
      <c r="G8" s="247">
        <v>0.87</v>
      </c>
      <c r="H8" s="247">
        <v>0.59446786987552858</v>
      </c>
      <c r="I8" s="249"/>
      <c r="N8" s="274">
        <v>2.5</v>
      </c>
      <c r="O8" s="238"/>
      <c r="P8" s="239">
        <v>2</v>
      </c>
      <c r="Q8" s="192">
        <f t="shared" si="0"/>
        <v>3.1415926535897931</v>
      </c>
    </row>
    <row r="9" spans="1:18" s="193" customFormat="1" ht="15" customHeight="1" x14ac:dyDescent="0.25">
      <c r="A9" s="240" t="s">
        <v>278</v>
      </c>
      <c r="B9" s="193" t="s">
        <v>283</v>
      </c>
      <c r="C9" s="245">
        <v>1</v>
      </c>
      <c r="D9" s="252">
        <v>68</v>
      </c>
      <c r="E9" s="246">
        <v>35</v>
      </c>
      <c r="F9" s="193" t="s">
        <v>296</v>
      </c>
      <c r="G9" s="247">
        <v>1</v>
      </c>
      <c r="H9" s="247">
        <v>0.78539816339744828</v>
      </c>
      <c r="I9" s="249"/>
      <c r="N9" s="274">
        <v>3</v>
      </c>
      <c r="O9" s="238"/>
      <c r="P9" s="239">
        <v>2.5</v>
      </c>
      <c r="Q9" s="192">
        <f t="shared" si="0"/>
        <v>4.908738521234052</v>
      </c>
    </row>
    <row r="10" spans="1:18" s="193" customFormat="1" ht="15" customHeight="1" x14ac:dyDescent="0.25">
      <c r="A10" s="240" t="s">
        <v>279</v>
      </c>
      <c r="B10" s="193" t="s">
        <v>283</v>
      </c>
      <c r="C10" s="245">
        <v>1.25</v>
      </c>
      <c r="D10" s="252">
        <v>48</v>
      </c>
      <c r="E10" s="246">
        <v>35</v>
      </c>
      <c r="F10" s="193" t="s">
        <v>296</v>
      </c>
      <c r="G10" s="247">
        <v>1</v>
      </c>
      <c r="H10" s="247">
        <v>0.78539816339744828</v>
      </c>
      <c r="I10" s="249"/>
      <c r="N10" s="274">
        <v>4</v>
      </c>
      <c r="O10" s="238"/>
      <c r="P10" s="239">
        <v>3</v>
      </c>
      <c r="Q10" s="192">
        <f t="shared" si="0"/>
        <v>7.0685834705770345</v>
      </c>
    </row>
    <row r="11" spans="1:18" s="193" customFormat="1" ht="15" customHeight="1" x14ac:dyDescent="0.25">
      <c r="A11" s="240" t="s">
        <v>280</v>
      </c>
      <c r="B11" s="193" t="s">
        <v>283</v>
      </c>
      <c r="C11" s="245">
        <v>1.5</v>
      </c>
      <c r="D11" s="252">
        <v>84</v>
      </c>
      <c r="E11" s="246">
        <v>35</v>
      </c>
      <c r="F11" s="193" t="s">
        <v>296</v>
      </c>
      <c r="G11" s="247">
        <v>1.25</v>
      </c>
      <c r="H11" s="247">
        <v>1.227184630308513</v>
      </c>
      <c r="I11" s="249"/>
      <c r="N11" s="274">
        <v>5</v>
      </c>
      <c r="O11" s="238"/>
      <c r="P11" s="239">
        <v>4</v>
      </c>
      <c r="Q11" s="192">
        <f t="shared" si="0"/>
        <v>12.566370614359172</v>
      </c>
    </row>
    <row r="12" spans="1:18" s="193" customFormat="1" ht="15" customHeight="1" x14ac:dyDescent="0.25">
      <c r="A12" s="240" t="s">
        <v>281</v>
      </c>
      <c r="B12" s="193" t="s">
        <v>283</v>
      </c>
      <c r="C12" s="245">
        <v>1.5</v>
      </c>
      <c r="D12" s="252">
        <v>177</v>
      </c>
      <c r="E12" s="246">
        <v>35</v>
      </c>
      <c r="F12" s="193" t="s">
        <v>296</v>
      </c>
      <c r="G12" s="247">
        <v>1.5</v>
      </c>
      <c r="H12" s="247">
        <v>1.7671458676442586</v>
      </c>
      <c r="I12" s="249"/>
      <c r="N12" s="274">
        <v>6</v>
      </c>
      <c r="O12" s="238"/>
      <c r="P12" s="239">
        <v>4.75</v>
      </c>
      <c r="Q12" s="192">
        <f t="shared" si="0"/>
        <v>17.720546061654925</v>
      </c>
    </row>
    <row r="13" spans="1:18" s="193" customFormat="1" ht="15" customHeight="1" x14ac:dyDescent="0.25">
      <c r="A13" s="240" t="s">
        <v>282</v>
      </c>
      <c r="B13" s="193" t="s">
        <v>283</v>
      </c>
      <c r="C13" s="245">
        <v>2</v>
      </c>
      <c r="D13" s="252">
        <v>108</v>
      </c>
      <c r="E13" s="246">
        <v>35</v>
      </c>
      <c r="F13" s="193" t="s">
        <v>296</v>
      </c>
      <c r="G13" s="247">
        <v>1.5</v>
      </c>
      <c r="H13" s="247">
        <v>1.7671458676442586</v>
      </c>
      <c r="I13" s="249"/>
      <c r="N13" s="275">
        <v>8</v>
      </c>
      <c r="P13" s="210">
        <v>6.5</v>
      </c>
      <c r="Q13" s="192">
        <f t="shared" si="0"/>
        <v>33.183072403542191</v>
      </c>
    </row>
    <row r="14" spans="1:18" s="193" customFormat="1" ht="15" customHeight="1" x14ac:dyDescent="0.25">
      <c r="A14" s="240" t="s">
        <v>172</v>
      </c>
      <c r="B14" s="193" t="s">
        <v>284</v>
      </c>
      <c r="C14" s="245">
        <v>0.5</v>
      </c>
      <c r="D14" s="252">
        <v>15</v>
      </c>
      <c r="E14" s="246">
        <v>50</v>
      </c>
      <c r="F14" s="193" t="s">
        <v>296</v>
      </c>
      <c r="G14" s="247">
        <v>0.5</v>
      </c>
      <c r="H14" s="247">
        <v>0.19634954084936207</v>
      </c>
      <c r="I14" s="249"/>
      <c r="N14" s="275">
        <v>10</v>
      </c>
      <c r="P14" s="210">
        <v>8.5</v>
      </c>
      <c r="Q14" s="192">
        <f t="shared" si="0"/>
        <v>56.745017305465637</v>
      </c>
    </row>
    <row r="15" spans="1:18" s="193" customFormat="1" ht="15" customHeight="1" x14ac:dyDescent="0.25">
      <c r="A15" s="240" t="s">
        <v>142</v>
      </c>
      <c r="B15" s="193" t="s">
        <v>284</v>
      </c>
      <c r="C15" s="245">
        <v>0.75</v>
      </c>
      <c r="D15" s="252">
        <v>30</v>
      </c>
      <c r="E15" s="246">
        <v>50</v>
      </c>
      <c r="F15" s="193" t="s">
        <v>296</v>
      </c>
      <c r="G15" s="247">
        <v>0.68</v>
      </c>
      <c r="H15" s="247">
        <v>0.36316811075498018</v>
      </c>
      <c r="I15" s="249"/>
    </row>
    <row r="16" spans="1:18" s="193" customFormat="1" ht="15" customHeight="1" x14ac:dyDescent="0.25">
      <c r="A16" s="240" t="s">
        <v>156</v>
      </c>
      <c r="B16" s="193" t="s">
        <v>284</v>
      </c>
      <c r="C16" s="245">
        <v>1</v>
      </c>
      <c r="D16" s="252">
        <v>43</v>
      </c>
      <c r="E16" s="246">
        <v>50</v>
      </c>
      <c r="F16" s="193" t="s">
        <v>296</v>
      </c>
      <c r="G16" s="247">
        <v>0.87</v>
      </c>
      <c r="H16" s="247">
        <v>0.59446786987552858</v>
      </c>
      <c r="I16" s="249"/>
    </row>
    <row r="17" spans="1:11" s="193" customFormat="1" ht="15" customHeight="1" x14ac:dyDescent="0.25">
      <c r="A17" s="240" t="s">
        <v>145</v>
      </c>
      <c r="B17" s="193" t="s">
        <v>284</v>
      </c>
      <c r="C17" s="245">
        <v>2</v>
      </c>
      <c r="D17" s="252">
        <v>108</v>
      </c>
      <c r="E17" s="246">
        <v>50</v>
      </c>
      <c r="F17" s="193" t="s">
        <v>296</v>
      </c>
      <c r="G17" s="247">
        <v>1.5</v>
      </c>
      <c r="H17" s="247">
        <v>1.7671458676442586</v>
      </c>
      <c r="I17" s="249"/>
    </row>
    <row r="18" spans="1:11" s="193" customFormat="1" ht="15" customHeight="1" x14ac:dyDescent="0.25">
      <c r="A18" s="240" t="s">
        <v>171</v>
      </c>
      <c r="B18" s="193" t="s">
        <v>135</v>
      </c>
      <c r="C18" s="245">
        <v>0.5</v>
      </c>
      <c r="D18" s="252">
        <v>0.28999999999999998</v>
      </c>
      <c r="E18" s="246">
        <v>15</v>
      </c>
      <c r="F18" s="193" t="s">
        <v>296</v>
      </c>
      <c r="G18" s="247">
        <v>0.42322834645669294</v>
      </c>
      <c r="H18" s="247">
        <v>0.14068227301385336</v>
      </c>
      <c r="I18" s="247">
        <v>8.3000000000000001E-3</v>
      </c>
    </row>
    <row r="19" spans="1:11" s="193" customFormat="1" ht="15" customHeight="1" x14ac:dyDescent="0.25">
      <c r="A19" s="240" t="s">
        <v>170</v>
      </c>
      <c r="B19" s="193" t="s">
        <v>135</v>
      </c>
      <c r="C19" s="245">
        <v>0.5</v>
      </c>
      <c r="D19" s="252">
        <v>0.46</v>
      </c>
      <c r="E19" s="246">
        <v>15</v>
      </c>
      <c r="F19" s="193" t="s">
        <v>296</v>
      </c>
      <c r="G19" s="247">
        <v>0.42322834645669294</v>
      </c>
      <c r="H19" s="247">
        <v>0.14068227301385336</v>
      </c>
      <c r="I19" s="247">
        <v>1.2200000000000001E-2</v>
      </c>
    </row>
    <row r="20" spans="1:11" s="193" customFormat="1" ht="15" customHeight="1" x14ac:dyDescent="0.25">
      <c r="A20" s="240" t="s">
        <v>169</v>
      </c>
      <c r="B20" s="193" t="s">
        <v>135</v>
      </c>
      <c r="C20" s="245">
        <v>0.5</v>
      </c>
      <c r="D20" s="252">
        <v>0.73</v>
      </c>
      <c r="E20" s="246">
        <v>15</v>
      </c>
      <c r="F20" s="193" t="s">
        <v>296</v>
      </c>
      <c r="G20" s="247">
        <v>0.42322834645669294</v>
      </c>
      <c r="H20" s="247">
        <v>0.14068227301385336</v>
      </c>
      <c r="I20" s="247">
        <v>1.47E-2</v>
      </c>
    </row>
    <row r="21" spans="1:11" s="193" customFormat="1" ht="15" customHeight="1" x14ac:dyDescent="0.25">
      <c r="A21" s="240" t="s">
        <v>168</v>
      </c>
      <c r="B21" s="193" t="s">
        <v>135</v>
      </c>
      <c r="C21" s="245">
        <v>0.5</v>
      </c>
      <c r="D21" s="252">
        <v>1.1599999999999999</v>
      </c>
      <c r="E21" s="246">
        <v>15</v>
      </c>
      <c r="F21" s="193" t="s">
        <v>296</v>
      </c>
      <c r="G21" s="247">
        <v>0.42322834645669294</v>
      </c>
      <c r="H21" s="247">
        <v>0.14068227301385336</v>
      </c>
      <c r="I21" s="247">
        <v>2.6599999999999999E-2</v>
      </c>
      <c r="K21" s="193" t="s">
        <v>330</v>
      </c>
    </row>
    <row r="22" spans="1:11" s="193" customFormat="1" ht="15" customHeight="1" x14ac:dyDescent="0.25">
      <c r="A22" s="240" t="s">
        <v>167</v>
      </c>
      <c r="B22" s="193" t="s">
        <v>135</v>
      </c>
      <c r="C22" s="245">
        <v>0.5</v>
      </c>
      <c r="D22" s="252">
        <v>1.86</v>
      </c>
      <c r="E22" s="246">
        <v>15</v>
      </c>
      <c r="F22" s="193" t="s">
        <v>296</v>
      </c>
      <c r="G22" s="247">
        <v>0.42322834645669294</v>
      </c>
      <c r="H22" s="247">
        <v>0.14068227301385336</v>
      </c>
      <c r="I22" s="247">
        <v>4.3299999999999998E-2</v>
      </c>
    </row>
    <row r="23" spans="1:11" s="193" customFormat="1" ht="15" customHeight="1" x14ac:dyDescent="0.25">
      <c r="A23" s="240" t="s">
        <v>166</v>
      </c>
      <c r="B23" s="193" t="s">
        <v>135</v>
      </c>
      <c r="C23" s="245">
        <v>0.5</v>
      </c>
      <c r="D23" s="252">
        <v>2.9</v>
      </c>
      <c r="E23" s="246">
        <v>15</v>
      </c>
      <c r="F23" s="193" t="s">
        <v>296</v>
      </c>
      <c r="G23" s="247">
        <v>0.42322834645669294</v>
      </c>
      <c r="H23" s="247">
        <v>0.14068227301385336</v>
      </c>
      <c r="I23" s="247">
        <v>5.4800000000000001E-2</v>
      </c>
    </row>
    <row r="24" spans="1:11" s="193" customFormat="1" ht="15" customHeight="1" x14ac:dyDescent="0.25">
      <c r="A24" s="240" t="s">
        <v>165</v>
      </c>
      <c r="B24" s="193" t="s">
        <v>135</v>
      </c>
      <c r="C24" s="245">
        <v>0.5</v>
      </c>
      <c r="D24" s="252">
        <v>4.55</v>
      </c>
      <c r="E24" s="246">
        <v>15</v>
      </c>
      <c r="F24" s="193" t="s">
        <v>296</v>
      </c>
      <c r="G24" s="247">
        <v>0.42322834645669294</v>
      </c>
      <c r="H24" s="247">
        <v>0.14068227301385336</v>
      </c>
      <c r="I24" s="247">
        <v>9.3200000000000005E-2</v>
      </c>
    </row>
    <row r="25" spans="1:11" s="193" customFormat="1" ht="15" customHeight="1" x14ac:dyDescent="0.25">
      <c r="A25" s="240" t="s">
        <v>140</v>
      </c>
      <c r="B25" s="193" t="s">
        <v>135</v>
      </c>
      <c r="C25" s="245">
        <v>0.75</v>
      </c>
      <c r="D25" s="252">
        <v>1.86</v>
      </c>
      <c r="E25" s="246">
        <v>15</v>
      </c>
      <c r="F25" s="193" t="s">
        <v>296</v>
      </c>
      <c r="G25" s="247">
        <v>0.59055118110236227</v>
      </c>
      <c r="H25" s="247">
        <v>0.27390815730117474</v>
      </c>
      <c r="I25" s="247">
        <v>4.2599999999999999E-2</v>
      </c>
    </row>
    <row r="26" spans="1:11" s="193" customFormat="1" ht="15" customHeight="1" x14ac:dyDescent="0.25">
      <c r="A26" s="240" t="s">
        <v>139</v>
      </c>
      <c r="B26" s="193" t="s">
        <v>135</v>
      </c>
      <c r="C26" s="245">
        <v>0.75</v>
      </c>
      <c r="D26" s="252">
        <v>2.9</v>
      </c>
      <c r="E26" s="246">
        <v>15</v>
      </c>
      <c r="F26" s="193" t="s">
        <v>296</v>
      </c>
      <c r="G26" s="247">
        <v>0.59055118110236227</v>
      </c>
      <c r="H26" s="247">
        <v>0.27390815730117474</v>
      </c>
      <c r="I26" s="247">
        <v>6.9000000000000006E-2</v>
      </c>
    </row>
    <row r="27" spans="1:11" s="193" customFormat="1" ht="15" customHeight="1" x14ac:dyDescent="0.25">
      <c r="A27" s="240" t="s">
        <v>138</v>
      </c>
      <c r="B27" s="193" t="s">
        <v>135</v>
      </c>
      <c r="C27" s="245">
        <v>0.75</v>
      </c>
      <c r="D27" s="252">
        <v>4.6399999999999997</v>
      </c>
      <c r="E27" s="246">
        <v>15</v>
      </c>
      <c r="F27" s="193" t="s">
        <v>296</v>
      </c>
      <c r="G27" s="247">
        <v>0.59055118110236227</v>
      </c>
      <c r="H27" s="247">
        <v>0.27390815730117474</v>
      </c>
      <c r="I27" s="247">
        <v>0.1082</v>
      </c>
    </row>
    <row r="28" spans="1:11" s="193" customFormat="1" ht="15" customHeight="1" x14ac:dyDescent="0.25">
      <c r="A28" s="240" t="s">
        <v>137</v>
      </c>
      <c r="B28" s="193" t="s">
        <v>135</v>
      </c>
      <c r="C28" s="245">
        <v>0.75</v>
      </c>
      <c r="D28" s="252">
        <v>7.31</v>
      </c>
      <c r="E28" s="246">
        <v>15</v>
      </c>
      <c r="F28" s="193" t="s">
        <v>296</v>
      </c>
      <c r="G28" s="247">
        <v>0.59055118110236227</v>
      </c>
      <c r="H28" s="247">
        <v>0.27390815730117474</v>
      </c>
      <c r="I28" s="247">
        <v>0.14760000000000001</v>
      </c>
    </row>
    <row r="29" spans="1:11" s="193" customFormat="1" ht="15" customHeight="1" x14ac:dyDescent="0.25">
      <c r="A29" s="240" t="s">
        <v>136</v>
      </c>
      <c r="B29" s="193" t="s">
        <v>135</v>
      </c>
      <c r="C29" s="245">
        <v>0.75</v>
      </c>
      <c r="D29" s="252">
        <v>9.2799999999999994</v>
      </c>
      <c r="E29" s="246">
        <v>15</v>
      </c>
      <c r="F29" s="193" t="s">
        <v>296</v>
      </c>
      <c r="G29" s="247">
        <v>0.59055118110236227</v>
      </c>
      <c r="H29" s="247">
        <v>0.27390815730117474</v>
      </c>
      <c r="I29" s="247">
        <v>0.15620000000000001</v>
      </c>
    </row>
    <row r="30" spans="1:11" s="193" customFormat="1" ht="15" customHeight="1" x14ac:dyDescent="0.25">
      <c r="A30" s="240" t="s">
        <v>141</v>
      </c>
      <c r="B30" s="193" t="s">
        <v>135</v>
      </c>
      <c r="C30" s="245">
        <v>0.75</v>
      </c>
      <c r="D30" s="252">
        <v>13.2</v>
      </c>
      <c r="E30" s="246">
        <v>15</v>
      </c>
      <c r="F30" s="193" t="s">
        <v>296</v>
      </c>
      <c r="G30" s="247">
        <v>0.59055118110236227</v>
      </c>
      <c r="H30" s="247">
        <v>0.27390815730117474</v>
      </c>
      <c r="I30" s="247">
        <v>0.25600000000000001</v>
      </c>
    </row>
    <row r="31" spans="1:11" s="193" customFormat="1" ht="15" customHeight="1" x14ac:dyDescent="0.25">
      <c r="A31" s="240" t="s">
        <v>152</v>
      </c>
      <c r="B31" s="193" t="s">
        <v>135</v>
      </c>
      <c r="C31" s="245">
        <v>1</v>
      </c>
      <c r="D31" s="252">
        <v>4.6399999999999997</v>
      </c>
      <c r="E31" s="246">
        <v>15</v>
      </c>
      <c r="F31" s="193" t="s">
        <v>296</v>
      </c>
      <c r="G31" s="247">
        <v>0.78740157480314965</v>
      </c>
      <c r="H31" s="247">
        <v>0.48694783520208834</v>
      </c>
      <c r="I31" s="247">
        <v>0.1037</v>
      </c>
    </row>
    <row r="32" spans="1:11" s="193" customFormat="1" ht="15" customHeight="1" x14ac:dyDescent="0.25">
      <c r="A32" s="240" t="s">
        <v>151</v>
      </c>
      <c r="B32" s="193" t="s">
        <v>135</v>
      </c>
      <c r="C32" s="245">
        <v>1</v>
      </c>
      <c r="D32" s="252">
        <v>7.31</v>
      </c>
      <c r="E32" s="246">
        <v>15</v>
      </c>
      <c r="F32" s="193" t="s">
        <v>296</v>
      </c>
      <c r="G32" s="247">
        <v>0.78740157480314965</v>
      </c>
      <c r="H32" s="247">
        <v>0.48694783520208834</v>
      </c>
      <c r="I32" s="247">
        <v>0.15310000000000001</v>
      </c>
    </row>
    <row r="33" spans="1:10" s="193" customFormat="1" ht="15" customHeight="1" x14ac:dyDescent="0.25">
      <c r="A33" s="240" t="s">
        <v>155</v>
      </c>
      <c r="B33" s="193" t="s">
        <v>135</v>
      </c>
      <c r="C33" s="245">
        <v>1</v>
      </c>
      <c r="D33" s="252">
        <v>11.6</v>
      </c>
      <c r="E33" s="246">
        <v>15</v>
      </c>
      <c r="F33" s="193" t="s">
        <v>296</v>
      </c>
      <c r="G33" s="247">
        <v>0.78740157480314965</v>
      </c>
      <c r="H33" s="247">
        <v>0.48694783520208834</v>
      </c>
      <c r="I33" s="247">
        <v>0.26400000000000001</v>
      </c>
    </row>
    <row r="34" spans="1:10" s="193" customFormat="1" ht="15" customHeight="1" x14ac:dyDescent="0.25">
      <c r="A34" s="240" t="s">
        <v>154</v>
      </c>
      <c r="B34" s="193" t="s">
        <v>135</v>
      </c>
      <c r="C34" s="245">
        <v>1</v>
      </c>
      <c r="D34" s="252">
        <v>18.5</v>
      </c>
      <c r="E34" s="246">
        <v>15</v>
      </c>
      <c r="F34" s="193" t="s">
        <v>296</v>
      </c>
      <c r="G34" s="247">
        <v>0.78740157480314965</v>
      </c>
      <c r="H34" s="247">
        <v>0.48694783520208834</v>
      </c>
      <c r="I34" s="247">
        <v>0.3805</v>
      </c>
    </row>
    <row r="35" spans="1:10" s="193" customFormat="1" ht="15" customHeight="1" x14ac:dyDescent="0.25">
      <c r="A35" s="240" t="s">
        <v>153</v>
      </c>
      <c r="B35" s="193" t="s">
        <v>135</v>
      </c>
      <c r="C35" s="245">
        <v>1</v>
      </c>
      <c r="D35" s="252">
        <v>28</v>
      </c>
      <c r="E35" s="246">
        <v>15</v>
      </c>
      <c r="F35" s="193" t="s">
        <v>296</v>
      </c>
      <c r="G35" s="247">
        <v>0.78740157480314965</v>
      </c>
      <c r="H35" s="247">
        <v>0.48694783520208834</v>
      </c>
      <c r="I35" s="247">
        <v>0.4395</v>
      </c>
    </row>
    <row r="36" spans="1:10" s="193" customFormat="1" ht="15" customHeight="1" x14ac:dyDescent="0.25">
      <c r="A36" s="240" t="s">
        <v>157</v>
      </c>
      <c r="B36" s="193" t="s">
        <v>286</v>
      </c>
      <c r="C36" s="245">
        <v>1</v>
      </c>
      <c r="D36" s="252">
        <v>24</v>
      </c>
      <c r="E36" s="246">
        <v>150</v>
      </c>
      <c r="F36" s="193" t="s">
        <v>296</v>
      </c>
      <c r="G36" s="261">
        <v>0.93048529833625571</v>
      </c>
      <c r="H36" s="260">
        <v>0.68</v>
      </c>
      <c r="I36" s="249"/>
    </row>
    <row r="37" spans="1:10" s="193" customFormat="1" ht="15" customHeight="1" x14ac:dyDescent="0.25">
      <c r="A37" s="242" t="s">
        <v>160</v>
      </c>
      <c r="B37" s="193" t="s">
        <v>286</v>
      </c>
      <c r="C37" s="246">
        <v>1.5</v>
      </c>
      <c r="D37" s="252">
        <v>55</v>
      </c>
      <c r="E37" s="246">
        <v>150</v>
      </c>
      <c r="F37" s="193" t="s">
        <v>296</v>
      </c>
      <c r="G37" s="261">
        <v>1.5594510349620345</v>
      </c>
      <c r="H37" s="260">
        <v>1.91</v>
      </c>
      <c r="I37" s="249"/>
    </row>
    <row r="38" spans="1:10" s="193" customFormat="1" ht="15" customHeight="1" x14ac:dyDescent="0.25">
      <c r="A38" s="242" t="s">
        <v>146</v>
      </c>
      <c r="B38" s="193" t="s">
        <v>286</v>
      </c>
      <c r="C38" s="246">
        <v>2</v>
      </c>
      <c r="D38" s="252">
        <v>77</v>
      </c>
      <c r="E38" s="246">
        <v>150</v>
      </c>
      <c r="F38" s="193" t="s">
        <v>296</v>
      </c>
      <c r="G38" s="261">
        <v>1.9544100476116797</v>
      </c>
      <c r="H38" s="260">
        <v>3</v>
      </c>
      <c r="I38" s="249"/>
    </row>
    <row r="39" spans="1:10" s="193" customFormat="1" ht="15" customHeight="1" x14ac:dyDescent="0.25">
      <c r="A39" s="242" t="s">
        <v>143</v>
      </c>
      <c r="B39" s="193" t="s">
        <v>286</v>
      </c>
      <c r="C39" s="246">
        <v>3</v>
      </c>
      <c r="D39" s="252">
        <v>207</v>
      </c>
      <c r="E39" s="246">
        <v>150</v>
      </c>
      <c r="F39" s="193" t="s">
        <v>296</v>
      </c>
      <c r="G39" s="261">
        <v>2.5928179257714299</v>
      </c>
      <c r="H39" s="260">
        <v>5.28</v>
      </c>
      <c r="I39" s="249"/>
    </row>
    <row r="40" spans="1:10" s="193" customFormat="1" ht="15" customHeight="1" x14ac:dyDescent="0.25">
      <c r="A40" s="242" t="s">
        <v>132</v>
      </c>
      <c r="B40" s="193" t="s">
        <v>286</v>
      </c>
      <c r="C40" s="246">
        <v>4</v>
      </c>
      <c r="D40" s="252">
        <v>350</v>
      </c>
      <c r="E40" s="246">
        <v>150</v>
      </c>
      <c r="F40" s="193" t="s">
        <v>296</v>
      </c>
      <c r="G40" s="261">
        <v>3.0270000000000001</v>
      </c>
      <c r="H40" s="260">
        <v>7.19</v>
      </c>
      <c r="I40" s="249"/>
    </row>
    <row r="41" spans="1:10" s="193" customFormat="1" ht="15" customHeight="1" x14ac:dyDescent="0.25">
      <c r="A41" s="242" t="s">
        <v>131</v>
      </c>
      <c r="B41" s="193" t="s">
        <v>286</v>
      </c>
      <c r="C41" s="246">
        <v>6</v>
      </c>
      <c r="D41" s="252">
        <v>507</v>
      </c>
      <c r="E41" s="246">
        <v>150</v>
      </c>
      <c r="F41" s="193" t="s">
        <v>296</v>
      </c>
      <c r="G41" s="261">
        <v>4.451023176313412</v>
      </c>
      <c r="H41" s="260">
        <v>15.56</v>
      </c>
      <c r="I41" s="249"/>
    </row>
    <row r="42" spans="1:10" s="193" customFormat="1" ht="15" customHeight="1" x14ac:dyDescent="0.25">
      <c r="A42" s="242" t="s">
        <v>130</v>
      </c>
      <c r="B42" s="193" t="s">
        <v>286</v>
      </c>
      <c r="C42" s="246">
        <v>8</v>
      </c>
      <c r="D42" s="252">
        <v>865</v>
      </c>
      <c r="E42" s="246">
        <v>150</v>
      </c>
      <c r="F42" s="193" t="s">
        <v>296</v>
      </c>
      <c r="G42" s="261">
        <v>5.6418958354775626</v>
      </c>
      <c r="H42" s="260">
        <v>25</v>
      </c>
      <c r="I42" s="249"/>
    </row>
    <row r="43" spans="1:10" s="193" customFormat="1" ht="15" customHeight="1" x14ac:dyDescent="0.25">
      <c r="A43" s="242" t="s">
        <v>148</v>
      </c>
      <c r="B43" s="193" t="s">
        <v>286</v>
      </c>
      <c r="C43" s="246">
        <v>10</v>
      </c>
      <c r="D43" s="252">
        <v>1550</v>
      </c>
      <c r="E43" s="246">
        <v>150</v>
      </c>
      <c r="F43" s="193" t="s">
        <v>296</v>
      </c>
      <c r="G43" s="261">
        <v>7.5373701306279877</v>
      </c>
      <c r="H43" s="260">
        <v>44.62</v>
      </c>
      <c r="I43" s="249"/>
    </row>
    <row r="44" spans="1:10" s="193" customFormat="1" ht="15" customHeight="1" x14ac:dyDescent="0.25">
      <c r="A44" s="242" t="s">
        <v>147</v>
      </c>
      <c r="B44" s="193" t="s">
        <v>286</v>
      </c>
      <c r="C44" s="246">
        <v>12</v>
      </c>
      <c r="D44" s="252">
        <v>1905</v>
      </c>
      <c r="E44" s="246">
        <v>150</v>
      </c>
      <c r="F44" s="193" t="s">
        <v>296</v>
      </c>
      <c r="G44" s="261">
        <v>9.0657383931290862</v>
      </c>
      <c r="H44" s="260">
        <v>64.55</v>
      </c>
      <c r="I44" s="249"/>
    </row>
    <row r="45" spans="1:10" s="193" customFormat="1" ht="15" customHeight="1" x14ac:dyDescent="0.2">
      <c r="A45" s="193" t="s">
        <v>164</v>
      </c>
      <c r="B45" s="193" t="s">
        <v>287</v>
      </c>
      <c r="C45" s="246">
        <v>0.5</v>
      </c>
      <c r="D45" s="252">
        <v>0.4</v>
      </c>
      <c r="E45" s="246">
        <v>100</v>
      </c>
      <c r="F45" s="193" t="s">
        <v>287</v>
      </c>
      <c r="G45" s="67">
        <v>0.375</v>
      </c>
      <c r="H45" s="262">
        <v>0.27900000000000003</v>
      </c>
      <c r="I45" s="250"/>
      <c r="J45" s="249"/>
    </row>
    <row r="46" spans="1:10" s="193" customFormat="1" ht="15" customHeight="1" x14ac:dyDescent="0.2">
      <c r="A46" s="193" t="s">
        <v>163</v>
      </c>
      <c r="B46" s="193" t="s">
        <v>287</v>
      </c>
      <c r="C46" s="246">
        <v>0.5</v>
      </c>
      <c r="D46" s="252">
        <v>1.3</v>
      </c>
      <c r="E46" s="246">
        <v>100</v>
      </c>
      <c r="F46" s="193" t="s">
        <v>287</v>
      </c>
      <c r="G46" s="67">
        <v>0.375</v>
      </c>
      <c r="H46" s="250"/>
      <c r="I46" s="250"/>
      <c r="J46" s="249"/>
    </row>
    <row r="47" spans="1:10" s="193" customFormat="1" ht="15" customHeight="1" x14ac:dyDescent="0.2">
      <c r="A47" s="193" t="s">
        <v>162</v>
      </c>
      <c r="B47" s="193" t="s">
        <v>287</v>
      </c>
      <c r="C47" s="246">
        <v>0.5</v>
      </c>
      <c r="D47" s="252">
        <v>2.2000000000000002</v>
      </c>
      <c r="E47" s="246">
        <v>100</v>
      </c>
      <c r="F47" s="193" t="s">
        <v>287</v>
      </c>
      <c r="G47" s="67">
        <v>0.375</v>
      </c>
      <c r="H47" s="250"/>
      <c r="I47" s="250"/>
      <c r="J47" s="249"/>
    </row>
    <row r="48" spans="1:10" s="193" customFormat="1" ht="15" customHeight="1" x14ac:dyDescent="0.2">
      <c r="A48" s="193" t="s">
        <v>161</v>
      </c>
      <c r="B48" s="193" t="s">
        <v>287</v>
      </c>
      <c r="C48" s="246">
        <v>0.5</v>
      </c>
      <c r="D48" s="252">
        <v>4.4000000000000004</v>
      </c>
      <c r="E48" s="246">
        <v>100</v>
      </c>
      <c r="F48" s="193" t="s">
        <v>287</v>
      </c>
      <c r="G48" s="67">
        <v>0.375</v>
      </c>
      <c r="H48" s="250"/>
      <c r="I48" s="250"/>
      <c r="J48" s="249"/>
    </row>
    <row r="49" spans="1:10" s="193" customFormat="1" ht="15" customHeight="1" x14ac:dyDescent="0.2">
      <c r="A49" s="193" t="s">
        <v>134</v>
      </c>
      <c r="B49" s="193" t="s">
        <v>287</v>
      </c>
      <c r="C49" s="246">
        <v>0.75</v>
      </c>
      <c r="D49" s="252">
        <v>5.5</v>
      </c>
      <c r="E49" s="246">
        <v>100</v>
      </c>
      <c r="F49" s="193" t="s">
        <v>287</v>
      </c>
      <c r="G49" s="67">
        <v>0.5625</v>
      </c>
      <c r="H49" s="250">
        <v>0.48</v>
      </c>
      <c r="I49" s="250"/>
      <c r="J49" s="249"/>
    </row>
    <row r="50" spans="1:10" s="193" customFormat="1" ht="15" customHeight="1" x14ac:dyDescent="0.2">
      <c r="A50" s="193" t="s">
        <v>133</v>
      </c>
      <c r="B50" s="193" t="s">
        <v>287</v>
      </c>
      <c r="C50" s="246">
        <v>0.75</v>
      </c>
      <c r="D50" s="252">
        <v>7.5</v>
      </c>
      <c r="E50" s="246">
        <v>100</v>
      </c>
      <c r="F50" s="193" t="s">
        <v>287</v>
      </c>
      <c r="G50" s="67">
        <v>0.5625</v>
      </c>
      <c r="H50" s="250"/>
      <c r="I50" s="250"/>
      <c r="J50" s="249"/>
    </row>
    <row r="51" spans="1:10" s="193" customFormat="1" ht="15" customHeight="1" x14ac:dyDescent="0.2">
      <c r="A51" s="193" t="s">
        <v>150</v>
      </c>
      <c r="B51" s="193" t="s">
        <v>287</v>
      </c>
      <c r="C51" s="246">
        <v>1</v>
      </c>
      <c r="D51" s="252">
        <v>10</v>
      </c>
      <c r="E51" s="246">
        <v>100</v>
      </c>
      <c r="F51" s="193" t="s">
        <v>287</v>
      </c>
      <c r="G51" s="67">
        <v>0.75</v>
      </c>
      <c r="H51" s="250">
        <v>0.75900000000000001</v>
      </c>
      <c r="I51" s="250"/>
      <c r="J51" s="249"/>
    </row>
    <row r="52" spans="1:10" s="193" customFormat="1" ht="15" customHeight="1" x14ac:dyDescent="0.2">
      <c r="A52" s="193" t="s">
        <v>149</v>
      </c>
      <c r="B52" s="193" t="s">
        <v>287</v>
      </c>
      <c r="C52" s="246">
        <v>1</v>
      </c>
      <c r="D52" s="252">
        <v>14</v>
      </c>
      <c r="E52" s="246">
        <v>100</v>
      </c>
      <c r="F52" s="193" t="s">
        <v>287</v>
      </c>
      <c r="G52" s="67">
        <v>0.75</v>
      </c>
      <c r="H52" s="250"/>
      <c r="I52" s="250"/>
      <c r="J52" s="249"/>
    </row>
    <row r="53" spans="1:10" s="193" customFormat="1" ht="15" customHeight="1" x14ac:dyDescent="0.2">
      <c r="A53" s="193" t="s">
        <v>158</v>
      </c>
      <c r="B53" s="193" t="s">
        <v>287</v>
      </c>
      <c r="C53" s="246" t="s">
        <v>331</v>
      </c>
      <c r="D53" s="252">
        <v>20</v>
      </c>
      <c r="E53" s="246">
        <v>100</v>
      </c>
      <c r="F53" s="193" t="s">
        <v>287</v>
      </c>
      <c r="G53" s="67">
        <v>0.9375</v>
      </c>
      <c r="H53" s="250">
        <v>1.24</v>
      </c>
      <c r="I53" s="250"/>
      <c r="J53" s="249"/>
    </row>
    <row r="54" spans="1:10" s="193" customFormat="1" ht="15" customHeight="1" x14ac:dyDescent="0.2">
      <c r="A54" s="193" t="s">
        <v>159</v>
      </c>
      <c r="B54" s="193" t="s">
        <v>287</v>
      </c>
      <c r="C54" s="246" t="s">
        <v>332</v>
      </c>
      <c r="D54" s="252">
        <v>28</v>
      </c>
      <c r="E54" s="246">
        <v>100</v>
      </c>
      <c r="F54" s="193" t="s">
        <v>287</v>
      </c>
      <c r="G54" s="67">
        <v>1.125</v>
      </c>
      <c r="H54" s="250"/>
      <c r="I54" s="250"/>
      <c r="J54" s="249"/>
    </row>
    <row r="55" spans="1:10" s="193" customFormat="1" ht="15" customHeight="1" x14ac:dyDescent="0.2">
      <c r="A55" s="193" t="s">
        <v>144</v>
      </c>
      <c r="B55" s="193" t="s">
        <v>287</v>
      </c>
      <c r="C55" s="246">
        <v>2</v>
      </c>
      <c r="D55" s="252">
        <v>40</v>
      </c>
      <c r="E55" s="246">
        <v>100</v>
      </c>
      <c r="F55" s="193" t="s">
        <v>287</v>
      </c>
      <c r="G55" s="67">
        <v>1.5</v>
      </c>
      <c r="H55" s="250">
        <v>1.9530000000000001</v>
      </c>
      <c r="I55" s="250"/>
      <c r="J55" s="249"/>
    </row>
    <row r="56" spans="1:10" s="193" customFormat="1" ht="15" customHeight="1" x14ac:dyDescent="0.2">
      <c r="A56" s="193" t="s">
        <v>301</v>
      </c>
      <c r="B56" s="193" t="s">
        <v>287</v>
      </c>
      <c r="C56" s="246" t="s">
        <v>333</v>
      </c>
      <c r="D56" s="252">
        <v>65</v>
      </c>
      <c r="E56" s="246">
        <v>35</v>
      </c>
      <c r="F56" s="193" t="s">
        <v>287</v>
      </c>
      <c r="G56" s="67">
        <v>1.875</v>
      </c>
      <c r="H56" s="250"/>
      <c r="I56" s="250"/>
      <c r="J56" s="249"/>
    </row>
    <row r="57" spans="1:10" s="193" customFormat="1" ht="15" customHeight="1" x14ac:dyDescent="0.2">
      <c r="A57" s="193" t="s">
        <v>302</v>
      </c>
      <c r="B57" s="193" t="s">
        <v>287</v>
      </c>
      <c r="C57" s="246">
        <v>3</v>
      </c>
      <c r="D57" s="252">
        <v>90</v>
      </c>
      <c r="E57" s="246">
        <v>35</v>
      </c>
      <c r="F57" s="193" t="s">
        <v>287</v>
      </c>
      <c r="G57" s="67">
        <v>2.25</v>
      </c>
      <c r="H57" s="250"/>
      <c r="I57" s="250"/>
      <c r="J57" s="249"/>
    </row>
    <row r="58" spans="1:10" s="193" customFormat="1" ht="15" customHeight="1" x14ac:dyDescent="0.2">
      <c r="A58" s="193" t="s">
        <v>303</v>
      </c>
      <c r="B58" s="193" t="s">
        <v>287</v>
      </c>
      <c r="C58" s="246">
        <v>4</v>
      </c>
      <c r="D58" s="252">
        <v>170</v>
      </c>
      <c r="E58" s="246">
        <v>35</v>
      </c>
      <c r="F58" s="193" t="s">
        <v>287</v>
      </c>
      <c r="G58" s="67">
        <v>3</v>
      </c>
      <c r="H58" s="250"/>
      <c r="I58" s="250"/>
      <c r="J58" s="249"/>
    </row>
    <row r="59" spans="1:10" s="193" customFormat="1" ht="15" customHeight="1" x14ac:dyDescent="0.2">
      <c r="A59" s="193" t="s">
        <v>304</v>
      </c>
      <c r="B59" s="193" t="s">
        <v>287</v>
      </c>
      <c r="C59" s="246">
        <v>5</v>
      </c>
      <c r="D59" s="252">
        <v>263</v>
      </c>
      <c r="E59" s="246">
        <v>35</v>
      </c>
      <c r="F59" s="193" t="s">
        <v>287</v>
      </c>
      <c r="G59" s="67">
        <v>3.75</v>
      </c>
      <c r="H59" s="250"/>
      <c r="I59" s="250"/>
      <c r="J59" s="249"/>
    </row>
    <row r="60" spans="1:10" s="193" customFormat="1" ht="15" customHeight="1" x14ac:dyDescent="0.2">
      <c r="A60" s="193" t="s">
        <v>305</v>
      </c>
      <c r="B60" s="193" t="s">
        <v>287</v>
      </c>
      <c r="C60" s="246">
        <v>6</v>
      </c>
      <c r="D60" s="252">
        <v>344</v>
      </c>
      <c r="E60" s="246">
        <v>35</v>
      </c>
      <c r="F60" s="193" t="s">
        <v>287</v>
      </c>
      <c r="G60" s="67">
        <v>4.5</v>
      </c>
      <c r="H60" s="250"/>
      <c r="I60" s="250"/>
      <c r="J60" s="249"/>
    </row>
  </sheetData>
  <sheetProtection algorithmName="SHA-512" hashValue="k3GRFyho3IY1VXS7apwZ02D5d6qEEprFvAUgxW4NG7LyW/75/+lDlrufSuEy0DsvSB2fwDZrB0qeOhzCEWIqCQ==" saltValue="/EulwfOaNTR61Clwo6EZWA==" spinCount="100000" sheet="1" objects="1" scenarios="1" sort="0" autoFilter="0"/>
  <sortState xmlns:xlrd2="http://schemas.microsoft.com/office/spreadsheetml/2017/richdata2" ref="A2:H60">
    <sortCondition ref="B2:B60"/>
    <sortCondition ref="A2:A6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211AA-13EB-422C-87C1-D7CAA13465EB}">
  <sheetPr codeName="Sheet5"/>
  <dimension ref="A1:I26"/>
  <sheetViews>
    <sheetView workbookViewId="0">
      <selection activeCell="C16" sqref="C16"/>
    </sheetView>
  </sheetViews>
  <sheetFormatPr defaultRowHeight="12.75" x14ac:dyDescent="0.2"/>
  <cols>
    <col min="1" max="1" width="14.28515625" bestFit="1" customWidth="1"/>
    <col min="2" max="2" width="11.7109375" bestFit="1" customWidth="1"/>
    <col min="3" max="3" width="17.42578125" bestFit="1" customWidth="1"/>
    <col min="4" max="4" width="18.85546875" bestFit="1" customWidth="1"/>
    <col min="5" max="5" width="14.85546875" bestFit="1" customWidth="1"/>
    <col min="6" max="6" width="9.7109375" bestFit="1" customWidth="1"/>
    <col min="7" max="7" width="13.5703125" bestFit="1" customWidth="1"/>
    <col min="9" max="9" width="64.42578125" bestFit="1" customWidth="1"/>
  </cols>
  <sheetData>
    <row r="1" spans="1:9" x14ac:dyDescent="0.2">
      <c r="A1" t="s">
        <v>189</v>
      </c>
      <c r="B1" t="s">
        <v>404</v>
      </c>
      <c r="C1" t="s">
        <v>308</v>
      </c>
      <c r="D1" t="s">
        <v>398</v>
      </c>
      <c r="E1" t="s">
        <v>399</v>
      </c>
      <c r="F1" t="s">
        <v>400</v>
      </c>
      <c r="G1" t="s">
        <v>401</v>
      </c>
      <c r="I1" t="s">
        <v>405</v>
      </c>
    </row>
    <row r="2" spans="1:9" x14ac:dyDescent="0.2">
      <c r="A2">
        <v>1</v>
      </c>
      <c r="B2">
        <v>-4</v>
      </c>
      <c r="C2">
        <v>0</v>
      </c>
      <c r="D2">
        <v>0</v>
      </c>
      <c r="E2">
        <v>0</v>
      </c>
      <c r="F2" t="s">
        <v>190</v>
      </c>
      <c r="G2" t="s">
        <v>402</v>
      </c>
    </row>
    <row r="3" spans="1:9" x14ac:dyDescent="0.2">
      <c r="A3">
        <v>2</v>
      </c>
      <c r="B3">
        <v>-3</v>
      </c>
      <c r="C3">
        <v>0</v>
      </c>
      <c r="D3">
        <v>0</v>
      </c>
      <c r="E3">
        <v>0</v>
      </c>
      <c r="F3" t="s">
        <v>190</v>
      </c>
      <c r="G3" t="s">
        <v>402</v>
      </c>
      <c r="I3" t="s">
        <v>406</v>
      </c>
    </row>
    <row r="4" spans="1:9" x14ac:dyDescent="0.2">
      <c r="A4">
        <v>3</v>
      </c>
      <c r="B4">
        <v>-2</v>
      </c>
      <c r="C4">
        <v>0</v>
      </c>
      <c r="D4">
        <v>0</v>
      </c>
      <c r="E4">
        <v>0</v>
      </c>
      <c r="F4" t="s">
        <v>190</v>
      </c>
      <c r="G4" t="s">
        <v>402</v>
      </c>
      <c r="I4" t="s">
        <v>407</v>
      </c>
    </row>
    <row r="5" spans="1:9" x14ac:dyDescent="0.2">
      <c r="A5">
        <v>4</v>
      </c>
      <c r="B5">
        <v>-1</v>
      </c>
      <c r="C5">
        <v>0</v>
      </c>
      <c r="D5">
        <v>0</v>
      </c>
      <c r="E5">
        <v>0</v>
      </c>
      <c r="F5" t="s">
        <v>190</v>
      </c>
      <c r="G5" t="s">
        <v>402</v>
      </c>
      <c r="I5" t="s">
        <v>408</v>
      </c>
    </row>
    <row r="6" spans="1:9" x14ac:dyDescent="0.2">
      <c r="A6">
        <v>5</v>
      </c>
      <c r="B6">
        <v>0</v>
      </c>
      <c r="C6">
        <v>0</v>
      </c>
      <c r="D6">
        <v>0</v>
      </c>
      <c r="E6">
        <v>0</v>
      </c>
      <c r="F6" t="s">
        <v>190</v>
      </c>
      <c r="G6" t="s">
        <v>402</v>
      </c>
    </row>
    <row r="7" spans="1:9" x14ac:dyDescent="0.2">
      <c r="A7">
        <v>6</v>
      </c>
      <c r="B7">
        <v>1</v>
      </c>
      <c r="C7">
        <v>3162.3</v>
      </c>
      <c r="D7">
        <v>3162.3</v>
      </c>
      <c r="E7">
        <v>3162.3</v>
      </c>
      <c r="F7" t="s">
        <v>191</v>
      </c>
      <c r="G7" t="s">
        <v>403</v>
      </c>
      <c r="I7" t="s">
        <v>409</v>
      </c>
    </row>
    <row r="8" spans="1:9" x14ac:dyDescent="0.2">
      <c r="A8">
        <v>7</v>
      </c>
      <c r="B8">
        <v>2</v>
      </c>
      <c r="C8">
        <v>4472.1000000000004</v>
      </c>
      <c r="D8">
        <v>4472.1000000000004</v>
      </c>
      <c r="E8">
        <v>4472.1000000000004</v>
      </c>
      <c r="F8" t="s">
        <v>191</v>
      </c>
      <c r="G8" t="s">
        <v>403</v>
      </c>
      <c r="I8" t="s">
        <v>410</v>
      </c>
    </row>
    <row r="9" spans="1:9" x14ac:dyDescent="0.2">
      <c r="A9">
        <v>8</v>
      </c>
      <c r="B9">
        <v>3</v>
      </c>
      <c r="C9">
        <v>5477.2</v>
      </c>
      <c r="D9">
        <v>5477.2</v>
      </c>
      <c r="E9">
        <v>5477.2</v>
      </c>
      <c r="F9" t="s">
        <v>191</v>
      </c>
      <c r="G9" t="s">
        <v>403</v>
      </c>
      <c r="I9" t="s">
        <v>411</v>
      </c>
    </row>
    <row r="10" spans="1:9" x14ac:dyDescent="0.2">
      <c r="A10">
        <v>9</v>
      </c>
      <c r="B10">
        <v>4</v>
      </c>
      <c r="C10">
        <v>6324.6</v>
      </c>
      <c r="D10">
        <v>6324.6</v>
      </c>
      <c r="E10">
        <v>6324.6</v>
      </c>
      <c r="F10" t="s">
        <v>191</v>
      </c>
      <c r="G10" t="s">
        <v>403</v>
      </c>
    </row>
    <row r="11" spans="1:9" x14ac:dyDescent="0.2">
      <c r="A11" s="202">
        <v>10</v>
      </c>
      <c r="B11" s="202">
        <v>5</v>
      </c>
      <c r="C11" s="202">
        <v>7071.1</v>
      </c>
      <c r="D11" s="202">
        <v>7071.1</v>
      </c>
      <c r="E11" s="202">
        <v>7071.1</v>
      </c>
      <c r="F11" s="202" t="s">
        <v>191</v>
      </c>
      <c r="G11" s="202" t="s">
        <v>403</v>
      </c>
    </row>
    <row r="12" spans="1:9" x14ac:dyDescent="0.2">
      <c r="A12">
        <v>11</v>
      </c>
      <c r="B12">
        <v>6</v>
      </c>
      <c r="C12">
        <v>7746</v>
      </c>
      <c r="D12">
        <v>7746</v>
      </c>
      <c r="E12">
        <v>7746</v>
      </c>
      <c r="F12" t="s">
        <v>191</v>
      </c>
      <c r="G12" t="s">
        <v>403</v>
      </c>
    </row>
    <row r="13" spans="1:9" x14ac:dyDescent="0.2">
      <c r="A13">
        <v>12</v>
      </c>
      <c r="B13">
        <v>7</v>
      </c>
      <c r="C13">
        <v>8366.6</v>
      </c>
      <c r="D13">
        <v>8366.6</v>
      </c>
      <c r="E13">
        <v>8366.6</v>
      </c>
      <c r="F13" t="s">
        <v>191</v>
      </c>
      <c r="G13" t="s">
        <v>403</v>
      </c>
    </row>
    <row r="14" spans="1:9" x14ac:dyDescent="0.2">
      <c r="A14">
        <v>13</v>
      </c>
      <c r="B14">
        <v>8</v>
      </c>
      <c r="C14">
        <v>8944.2999999999993</v>
      </c>
      <c r="D14">
        <v>8944.2999999999993</v>
      </c>
      <c r="E14">
        <v>8944.2999999999993</v>
      </c>
      <c r="F14" t="s">
        <v>191</v>
      </c>
      <c r="G14" t="s">
        <v>403</v>
      </c>
    </row>
    <row r="15" spans="1:9" x14ac:dyDescent="0.2">
      <c r="A15">
        <v>14</v>
      </c>
      <c r="B15">
        <v>9</v>
      </c>
      <c r="C15">
        <v>9486.7999999999993</v>
      </c>
      <c r="D15">
        <v>9486.7999999999993</v>
      </c>
      <c r="E15">
        <v>9486.7999999999993</v>
      </c>
      <c r="F15" t="s">
        <v>191</v>
      </c>
      <c r="G15" t="s">
        <v>403</v>
      </c>
    </row>
    <row r="16" spans="1:9" x14ac:dyDescent="0.2">
      <c r="A16">
        <v>15</v>
      </c>
      <c r="B16">
        <v>10</v>
      </c>
      <c r="C16">
        <v>10000</v>
      </c>
      <c r="D16">
        <v>10000</v>
      </c>
      <c r="E16">
        <v>10000</v>
      </c>
      <c r="F16" t="s">
        <v>191</v>
      </c>
      <c r="G16" t="s">
        <v>403</v>
      </c>
    </row>
    <row r="17" spans="1:7" x14ac:dyDescent="0.2">
      <c r="A17">
        <v>16</v>
      </c>
      <c r="B17">
        <v>11</v>
      </c>
      <c r="C17">
        <v>10488.1</v>
      </c>
      <c r="D17">
        <v>10488.1</v>
      </c>
      <c r="E17">
        <v>10488.1</v>
      </c>
      <c r="F17" t="s">
        <v>191</v>
      </c>
      <c r="G17" t="s">
        <v>403</v>
      </c>
    </row>
    <row r="18" spans="1:7" x14ac:dyDescent="0.2">
      <c r="A18">
        <v>17</v>
      </c>
      <c r="B18">
        <v>12</v>
      </c>
      <c r="C18">
        <v>10954.5</v>
      </c>
      <c r="D18">
        <v>10954.5</v>
      </c>
      <c r="E18">
        <v>10954.5</v>
      </c>
      <c r="F18" t="s">
        <v>191</v>
      </c>
      <c r="G18" t="s">
        <v>403</v>
      </c>
    </row>
    <row r="19" spans="1:7" x14ac:dyDescent="0.2">
      <c r="A19">
        <v>18</v>
      </c>
      <c r="B19">
        <v>13</v>
      </c>
      <c r="C19">
        <v>11401.8</v>
      </c>
      <c r="D19">
        <v>11401.8</v>
      </c>
      <c r="E19">
        <v>11401.8</v>
      </c>
      <c r="F19" t="s">
        <v>191</v>
      </c>
      <c r="G19" t="s">
        <v>403</v>
      </c>
    </row>
    <row r="20" spans="1:7" x14ac:dyDescent="0.2">
      <c r="A20">
        <v>19</v>
      </c>
      <c r="B20">
        <v>14</v>
      </c>
      <c r="C20">
        <v>11832.2</v>
      </c>
      <c r="D20">
        <v>11832.2</v>
      </c>
      <c r="E20">
        <v>11832.2</v>
      </c>
      <c r="F20" t="s">
        <v>191</v>
      </c>
      <c r="G20" t="s">
        <v>403</v>
      </c>
    </row>
    <row r="21" spans="1:7" x14ac:dyDescent="0.2">
      <c r="A21">
        <v>20</v>
      </c>
      <c r="B21">
        <v>15</v>
      </c>
      <c r="C21">
        <v>11683.5</v>
      </c>
      <c r="D21">
        <v>12436.7</v>
      </c>
      <c r="E21">
        <v>11683.5</v>
      </c>
      <c r="F21" t="s">
        <v>192</v>
      </c>
      <c r="G21" t="s">
        <v>403</v>
      </c>
    </row>
    <row r="22" spans="1:7" x14ac:dyDescent="0.2">
      <c r="A22">
        <v>21</v>
      </c>
      <c r="B22">
        <v>16</v>
      </c>
      <c r="C22">
        <v>12020.2</v>
      </c>
      <c r="D22">
        <v>12795.1</v>
      </c>
      <c r="E22">
        <v>12020.2</v>
      </c>
      <c r="F22" t="s">
        <v>192</v>
      </c>
      <c r="G22" t="s">
        <v>403</v>
      </c>
    </row>
    <row r="23" spans="1:7" x14ac:dyDescent="0.2">
      <c r="A23">
        <v>22</v>
      </c>
      <c r="B23">
        <v>17</v>
      </c>
      <c r="C23">
        <v>12356.9</v>
      </c>
      <c r="D23">
        <v>13153.6</v>
      </c>
      <c r="E23">
        <v>12356.9</v>
      </c>
      <c r="F23" t="s">
        <v>192</v>
      </c>
      <c r="G23" t="s">
        <v>403</v>
      </c>
    </row>
    <row r="24" spans="1:7" x14ac:dyDescent="0.2">
      <c r="A24">
        <v>23</v>
      </c>
      <c r="B24">
        <v>18</v>
      </c>
      <c r="C24">
        <v>12693.6</v>
      </c>
      <c r="D24">
        <v>13512</v>
      </c>
      <c r="E24">
        <v>12693.6</v>
      </c>
      <c r="F24" t="s">
        <v>192</v>
      </c>
      <c r="G24" t="s">
        <v>403</v>
      </c>
    </row>
    <row r="25" spans="1:7" x14ac:dyDescent="0.2">
      <c r="A25">
        <v>24</v>
      </c>
      <c r="B25">
        <v>19</v>
      </c>
      <c r="C25">
        <v>13030.3</v>
      </c>
      <c r="D25">
        <v>13870.4</v>
      </c>
      <c r="E25">
        <v>13030.3</v>
      </c>
      <c r="F25" t="s">
        <v>192</v>
      </c>
      <c r="G25" t="s">
        <v>403</v>
      </c>
    </row>
    <row r="26" spans="1:7" x14ac:dyDescent="0.2">
      <c r="A26">
        <v>25</v>
      </c>
      <c r="B26">
        <v>20</v>
      </c>
      <c r="C26">
        <v>13367</v>
      </c>
      <c r="D26">
        <v>14228.8</v>
      </c>
      <c r="E26">
        <v>13367</v>
      </c>
      <c r="F26" t="s">
        <v>192</v>
      </c>
      <c r="G26" t="s">
        <v>403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17C02-4004-468C-9C59-E056CE82D0C8}">
  <sheetPr codeName="Sheet6"/>
  <dimension ref="A1:P35"/>
  <sheetViews>
    <sheetView workbookViewId="0">
      <selection activeCell="L5" sqref="L5"/>
    </sheetView>
  </sheetViews>
  <sheetFormatPr defaultColWidth="9.140625" defaultRowHeight="14.25" x14ac:dyDescent="0.2"/>
  <cols>
    <col min="1" max="1" width="20.140625" style="209" customWidth="1"/>
    <col min="2" max="2" width="17.5703125" style="209" customWidth="1"/>
    <col min="3" max="16384" width="9.140625" style="209"/>
  </cols>
  <sheetData>
    <row r="1" spans="1:16" s="203" customFormat="1" thickTop="1" thickBot="1" x14ac:dyDescent="0.25">
      <c r="A1" s="339" t="s">
        <v>194</v>
      </c>
      <c r="B1" s="340"/>
      <c r="C1" s="341" t="s">
        <v>195</v>
      </c>
      <c r="D1" s="342"/>
      <c r="E1" s="342"/>
      <c r="F1" s="342"/>
      <c r="G1" s="342"/>
      <c r="H1" s="342"/>
      <c r="I1" s="342"/>
      <c r="J1" s="342"/>
      <c r="K1" s="342"/>
      <c r="L1" s="342"/>
      <c r="M1" s="342"/>
      <c r="N1" s="342"/>
      <c r="O1" s="342"/>
      <c r="P1" s="343"/>
    </row>
    <row r="2" spans="1:16" s="203" customFormat="1" ht="13.5" thickBot="1" x14ac:dyDescent="0.25">
      <c r="A2" s="204" t="s">
        <v>196</v>
      </c>
      <c r="B2" s="205" t="s">
        <v>197</v>
      </c>
      <c r="C2" s="206" t="s">
        <v>223</v>
      </c>
      <c r="D2" s="206" t="s">
        <v>224</v>
      </c>
      <c r="E2" s="206" t="s">
        <v>225</v>
      </c>
      <c r="F2" s="206" t="s">
        <v>271</v>
      </c>
      <c r="G2" s="206" t="s">
        <v>226</v>
      </c>
      <c r="H2" s="206" t="s">
        <v>227</v>
      </c>
      <c r="I2" s="206" t="s">
        <v>228</v>
      </c>
      <c r="J2" s="206" t="s">
        <v>221</v>
      </c>
      <c r="K2" s="206" t="s">
        <v>193</v>
      </c>
      <c r="L2" s="206" t="s">
        <v>222</v>
      </c>
      <c r="M2" s="206" t="s">
        <v>229</v>
      </c>
      <c r="N2" s="206" t="s">
        <v>274</v>
      </c>
      <c r="O2" s="206" t="s">
        <v>273</v>
      </c>
      <c r="P2" s="207" t="s">
        <v>289</v>
      </c>
    </row>
    <row r="3" spans="1:16" x14ac:dyDescent="0.2">
      <c r="A3" s="209">
        <v>5</v>
      </c>
      <c r="B3" s="209">
        <v>50</v>
      </c>
      <c r="C3" s="209">
        <v>12</v>
      </c>
      <c r="D3" s="209">
        <v>26</v>
      </c>
      <c r="E3" s="209">
        <v>45</v>
      </c>
      <c r="F3" s="209">
        <v>70</v>
      </c>
      <c r="G3" s="209">
        <v>100</v>
      </c>
      <c r="H3" s="209">
        <v>190</v>
      </c>
      <c r="I3" s="209">
        <v>280</v>
      </c>
      <c r="J3" s="209">
        <v>410</v>
      </c>
      <c r="K3" s="209">
        <v>760</v>
      </c>
      <c r="L3" s="209">
        <v>1250</v>
      </c>
      <c r="M3" s="209">
        <v>1770</v>
      </c>
      <c r="N3" s="209">
        <v>3100</v>
      </c>
      <c r="O3" s="209">
        <v>5000</v>
      </c>
      <c r="P3" s="209">
        <v>7100</v>
      </c>
    </row>
    <row r="4" spans="1:16" x14ac:dyDescent="0.2">
      <c r="A4" s="209">
        <v>5</v>
      </c>
      <c r="B4" s="209">
        <v>80</v>
      </c>
      <c r="C4" s="209">
        <v>19</v>
      </c>
      <c r="D4" s="209">
        <v>45</v>
      </c>
      <c r="E4" s="209">
        <v>75</v>
      </c>
      <c r="F4" s="209">
        <v>115</v>
      </c>
      <c r="G4" s="209">
        <v>170</v>
      </c>
      <c r="H4" s="209">
        <v>300</v>
      </c>
      <c r="I4" s="209">
        <v>490</v>
      </c>
      <c r="J4" s="209">
        <v>710</v>
      </c>
      <c r="K4" s="209">
        <v>1250</v>
      </c>
      <c r="L4" s="209">
        <v>1800</v>
      </c>
      <c r="M4" s="209">
        <v>2700</v>
      </c>
      <c r="N4" s="209">
        <v>5200</v>
      </c>
      <c r="O4" s="209">
        <v>7600</v>
      </c>
      <c r="P4" s="209">
        <v>11000</v>
      </c>
    </row>
    <row r="5" spans="1:16" x14ac:dyDescent="0.2">
      <c r="A5" s="209">
        <v>5</v>
      </c>
      <c r="B5" s="209">
        <v>120</v>
      </c>
      <c r="C5" s="209">
        <v>29</v>
      </c>
      <c r="D5" s="209">
        <v>60</v>
      </c>
      <c r="E5" s="209">
        <v>110</v>
      </c>
      <c r="F5" s="209">
        <v>175</v>
      </c>
      <c r="G5" s="209">
        <v>245</v>
      </c>
      <c r="H5" s="209">
        <v>460</v>
      </c>
      <c r="I5" s="209">
        <v>700</v>
      </c>
      <c r="J5" s="209">
        <v>1000</v>
      </c>
      <c r="K5" s="209">
        <v>1800</v>
      </c>
      <c r="L5" s="209">
        <v>2900</v>
      </c>
      <c r="M5" s="209">
        <v>4000</v>
      </c>
      <c r="N5" s="209">
        <v>7500</v>
      </c>
      <c r="O5" s="209">
        <v>12000</v>
      </c>
      <c r="P5" s="209">
        <v>16500</v>
      </c>
    </row>
    <row r="6" spans="1:16" x14ac:dyDescent="0.2">
      <c r="A6" s="209">
        <v>10</v>
      </c>
      <c r="B6" s="209">
        <v>50</v>
      </c>
      <c r="C6" s="209">
        <v>15</v>
      </c>
      <c r="D6" s="209">
        <v>35</v>
      </c>
      <c r="E6" s="209">
        <v>55</v>
      </c>
      <c r="F6" s="209">
        <v>88</v>
      </c>
      <c r="G6" s="209">
        <v>130</v>
      </c>
      <c r="H6" s="209">
        <v>240</v>
      </c>
      <c r="I6" s="209">
        <v>365</v>
      </c>
      <c r="J6" s="209">
        <v>550</v>
      </c>
      <c r="K6" s="209">
        <v>950</v>
      </c>
      <c r="L6" s="209">
        <v>1500</v>
      </c>
      <c r="M6" s="209">
        <v>2200</v>
      </c>
      <c r="N6" s="209">
        <v>3770</v>
      </c>
      <c r="O6" s="209">
        <v>6160</v>
      </c>
      <c r="P6" s="209">
        <v>8500</v>
      </c>
    </row>
    <row r="7" spans="1:16" x14ac:dyDescent="0.2">
      <c r="A7" s="209">
        <v>10</v>
      </c>
      <c r="B7" s="209">
        <v>80</v>
      </c>
      <c r="C7" s="209">
        <v>24</v>
      </c>
      <c r="D7" s="209">
        <v>52</v>
      </c>
      <c r="E7" s="209">
        <v>95</v>
      </c>
      <c r="F7" s="209">
        <v>150</v>
      </c>
      <c r="G7" s="209">
        <v>210</v>
      </c>
      <c r="H7" s="209">
        <v>380</v>
      </c>
      <c r="I7" s="209">
        <v>600</v>
      </c>
      <c r="J7" s="209">
        <v>900</v>
      </c>
      <c r="K7" s="209">
        <v>1500</v>
      </c>
      <c r="L7" s="209">
        <v>2400</v>
      </c>
      <c r="M7" s="209">
        <v>3300</v>
      </c>
      <c r="N7" s="209">
        <v>5900</v>
      </c>
      <c r="O7" s="209">
        <v>9700</v>
      </c>
      <c r="P7" s="209">
        <v>13000</v>
      </c>
    </row>
    <row r="8" spans="1:16" x14ac:dyDescent="0.2">
      <c r="A8" s="209">
        <v>10</v>
      </c>
      <c r="B8" s="209">
        <v>120</v>
      </c>
      <c r="C8" s="209">
        <v>35</v>
      </c>
      <c r="D8" s="209">
        <v>72</v>
      </c>
      <c r="E8" s="209">
        <v>135</v>
      </c>
      <c r="F8" s="209">
        <v>210</v>
      </c>
      <c r="G8" s="209">
        <v>330</v>
      </c>
      <c r="H8" s="209">
        <v>590</v>
      </c>
      <c r="I8" s="209">
        <v>850</v>
      </c>
      <c r="J8" s="209">
        <v>1250</v>
      </c>
      <c r="K8" s="209">
        <v>2200</v>
      </c>
      <c r="L8" s="209">
        <v>3400</v>
      </c>
      <c r="M8" s="209">
        <v>4800</v>
      </c>
      <c r="N8" s="209">
        <v>9000</v>
      </c>
      <c r="O8" s="209">
        <v>14400</v>
      </c>
      <c r="P8" s="209">
        <v>20500</v>
      </c>
    </row>
    <row r="9" spans="1:16" x14ac:dyDescent="0.2">
      <c r="A9" s="209">
        <v>20</v>
      </c>
      <c r="B9" s="209">
        <v>50</v>
      </c>
      <c r="C9" s="208">
        <v>21</v>
      </c>
      <c r="D9" s="208">
        <v>47</v>
      </c>
      <c r="E9" s="208">
        <v>82</v>
      </c>
      <c r="F9" s="208">
        <v>123</v>
      </c>
      <c r="G9" s="208">
        <v>185</v>
      </c>
      <c r="H9" s="208">
        <v>210</v>
      </c>
      <c r="I9" s="208">
        <v>520</v>
      </c>
      <c r="J9" s="208">
        <v>740</v>
      </c>
      <c r="K9" s="208">
        <v>1340</v>
      </c>
      <c r="L9" s="208">
        <v>1980</v>
      </c>
      <c r="M9" s="208">
        <v>2900</v>
      </c>
      <c r="N9" s="208">
        <v>5300</v>
      </c>
      <c r="O9" s="208">
        <v>8000</v>
      </c>
      <c r="P9" s="208">
        <v>11500</v>
      </c>
    </row>
    <row r="10" spans="1:16" x14ac:dyDescent="0.2">
      <c r="A10" s="209">
        <v>20</v>
      </c>
      <c r="B10" s="209">
        <v>80</v>
      </c>
      <c r="C10" s="208">
        <v>32</v>
      </c>
      <c r="D10" s="208">
        <v>70</v>
      </c>
      <c r="E10" s="208">
        <v>120</v>
      </c>
      <c r="F10" s="208">
        <v>190</v>
      </c>
      <c r="G10" s="208">
        <v>260</v>
      </c>
      <c r="H10" s="208">
        <v>520</v>
      </c>
      <c r="I10" s="208">
        <v>810</v>
      </c>
      <c r="J10" s="208">
        <v>1100</v>
      </c>
      <c r="K10" s="208">
        <v>1900</v>
      </c>
      <c r="L10" s="208">
        <v>3100</v>
      </c>
      <c r="M10" s="208">
        <v>4500</v>
      </c>
      <c r="N10" s="208">
        <v>8400</v>
      </c>
      <c r="O10" s="208">
        <v>13200</v>
      </c>
      <c r="P10" s="208">
        <v>18300</v>
      </c>
    </row>
    <row r="11" spans="1:16" x14ac:dyDescent="0.2">
      <c r="A11" s="209">
        <v>20</v>
      </c>
      <c r="B11" s="209">
        <v>120</v>
      </c>
      <c r="C11" s="208">
        <v>50</v>
      </c>
      <c r="D11" s="208">
        <v>105</v>
      </c>
      <c r="E11" s="208">
        <v>190</v>
      </c>
      <c r="F11" s="208">
        <v>300</v>
      </c>
      <c r="G11" s="208">
        <v>440</v>
      </c>
      <c r="H11" s="208">
        <v>840</v>
      </c>
      <c r="I11" s="208">
        <v>1250</v>
      </c>
      <c r="J11" s="208">
        <v>1720</v>
      </c>
      <c r="K11" s="208">
        <v>3100</v>
      </c>
      <c r="L11" s="208">
        <v>4850</v>
      </c>
      <c r="M11" s="208">
        <v>6750</v>
      </c>
      <c r="N11" s="208">
        <v>1300</v>
      </c>
      <c r="O11" s="208">
        <v>19800</v>
      </c>
      <c r="P11" s="208">
        <v>28000</v>
      </c>
    </row>
    <row r="12" spans="1:16" x14ac:dyDescent="0.2">
      <c r="A12" s="209">
        <v>30</v>
      </c>
      <c r="B12" s="209">
        <v>50</v>
      </c>
      <c r="C12" s="208">
        <v>26</v>
      </c>
      <c r="D12" s="208">
        <v>56</v>
      </c>
      <c r="E12" s="208">
        <v>100</v>
      </c>
      <c r="F12" s="208">
        <v>160</v>
      </c>
      <c r="G12" s="208">
        <v>230</v>
      </c>
      <c r="H12" s="208">
        <v>420</v>
      </c>
      <c r="I12" s="208">
        <v>650</v>
      </c>
      <c r="J12" s="208">
        <v>950</v>
      </c>
      <c r="K12" s="208">
        <v>1650</v>
      </c>
      <c r="L12" s="208">
        <v>2600</v>
      </c>
      <c r="M12" s="208">
        <v>3650</v>
      </c>
      <c r="N12" s="208">
        <v>6500</v>
      </c>
      <c r="O12" s="208">
        <v>10500</v>
      </c>
      <c r="P12" s="208">
        <v>14500</v>
      </c>
    </row>
    <row r="13" spans="1:16" x14ac:dyDescent="0.2">
      <c r="A13" s="209">
        <v>30</v>
      </c>
      <c r="B13" s="209">
        <v>80</v>
      </c>
      <c r="C13" s="208">
        <v>42</v>
      </c>
      <c r="D13" s="208">
        <v>94</v>
      </c>
      <c r="E13" s="208">
        <v>155</v>
      </c>
      <c r="F13" s="208">
        <v>250</v>
      </c>
      <c r="G13" s="208">
        <v>360</v>
      </c>
      <c r="H13" s="208">
        <v>655</v>
      </c>
      <c r="I13" s="208">
        <v>950</v>
      </c>
      <c r="J13" s="208">
        <v>1460</v>
      </c>
      <c r="K13" s="208">
        <v>2700</v>
      </c>
      <c r="L13" s="208">
        <v>3900</v>
      </c>
      <c r="M13" s="208">
        <v>5600</v>
      </c>
      <c r="N13" s="208">
        <v>10700</v>
      </c>
      <c r="O13" s="208">
        <v>16500</v>
      </c>
      <c r="P13" s="208">
        <v>23500</v>
      </c>
    </row>
    <row r="14" spans="1:16" x14ac:dyDescent="0.2">
      <c r="A14" s="209">
        <v>30</v>
      </c>
      <c r="B14" s="209">
        <v>120</v>
      </c>
      <c r="C14" s="208">
        <v>62</v>
      </c>
      <c r="D14" s="208">
        <v>130</v>
      </c>
      <c r="E14" s="208">
        <v>240</v>
      </c>
      <c r="F14" s="208">
        <v>370</v>
      </c>
      <c r="G14" s="208">
        <v>570</v>
      </c>
      <c r="H14" s="208">
        <v>990</v>
      </c>
      <c r="I14" s="208">
        <v>1550</v>
      </c>
      <c r="J14" s="208">
        <v>2100</v>
      </c>
      <c r="K14" s="208">
        <v>3950</v>
      </c>
      <c r="L14" s="208">
        <v>6100</v>
      </c>
      <c r="M14" s="208">
        <v>8700</v>
      </c>
      <c r="N14" s="208">
        <v>16000</v>
      </c>
      <c r="O14" s="208">
        <v>25000</v>
      </c>
      <c r="P14" s="208">
        <v>35000</v>
      </c>
    </row>
    <row r="15" spans="1:16" x14ac:dyDescent="0.2">
      <c r="A15" s="209">
        <v>40</v>
      </c>
      <c r="B15" s="209">
        <v>50</v>
      </c>
      <c r="C15" s="208">
        <v>32</v>
      </c>
      <c r="D15" s="208">
        <v>75</v>
      </c>
      <c r="E15" s="208">
        <v>120</v>
      </c>
      <c r="F15" s="208">
        <v>190</v>
      </c>
      <c r="G15" s="208">
        <v>260</v>
      </c>
      <c r="H15" s="208">
        <v>505</v>
      </c>
      <c r="I15" s="208">
        <v>790</v>
      </c>
      <c r="J15" s="208">
        <v>1100</v>
      </c>
      <c r="K15" s="208">
        <v>1900</v>
      </c>
      <c r="L15" s="208">
        <v>3100</v>
      </c>
      <c r="M15" s="208">
        <v>4200</v>
      </c>
      <c r="N15" s="208">
        <v>8200</v>
      </c>
      <c r="O15" s="208">
        <v>12800</v>
      </c>
      <c r="P15" s="208">
        <v>18000</v>
      </c>
    </row>
    <row r="16" spans="1:16" x14ac:dyDescent="0.2">
      <c r="A16" s="209">
        <v>40</v>
      </c>
      <c r="B16" s="209">
        <v>80</v>
      </c>
      <c r="C16" s="208">
        <v>51</v>
      </c>
      <c r="D16" s="208">
        <v>110</v>
      </c>
      <c r="E16" s="208">
        <v>195</v>
      </c>
      <c r="F16" s="208">
        <v>300</v>
      </c>
      <c r="G16" s="208">
        <v>445</v>
      </c>
      <c r="H16" s="208">
        <v>840</v>
      </c>
      <c r="I16" s="208">
        <v>1250</v>
      </c>
      <c r="J16" s="208">
        <v>1800</v>
      </c>
      <c r="K16" s="208">
        <v>3120</v>
      </c>
      <c r="L16" s="208">
        <v>4900</v>
      </c>
      <c r="M16" s="208">
        <v>6800</v>
      </c>
      <c r="N16" s="208">
        <v>13400</v>
      </c>
      <c r="O16" s="208">
        <v>20300</v>
      </c>
      <c r="P16" s="208">
        <v>28300</v>
      </c>
    </row>
    <row r="17" spans="1:16" x14ac:dyDescent="0.2">
      <c r="A17" s="209">
        <v>40</v>
      </c>
      <c r="B17" s="209">
        <v>120</v>
      </c>
      <c r="C17" s="208">
        <v>75</v>
      </c>
      <c r="D17" s="208">
        <v>160</v>
      </c>
      <c r="E17" s="208">
        <v>290</v>
      </c>
      <c r="F17" s="208">
        <v>460</v>
      </c>
      <c r="G17" s="208">
        <v>660</v>
      </c>
      <c r="H17" s="208">
        <v>1100</v>
      </c>
      <c r="I17" s="208">
        <v>1900</v>
      </c>
      <c r="J17" s="208">
        <v>2700</v>
      </c>
      <c r="K17" s="208">
        <v>4700</v>
      </c>
      <c r="L17" s="208">
        <v>7500</v>
      </c>
      <c r="M17" s="208">
        <v>11000</v>
      </c>
      <c r="N17" s="208">
        <v>19400</v>
      </c>
      <c r="O17" s="208">
        <v>30500</v>
      </c>
      <c r="P17" s="208">
        <v>42500</v>
      </c>
    </row>
    <row r="18" spans="1:16" x14ac:dyDescent="0.2">
      <c r="A18" s="209">
        <v>60</v>
      </c>
      <c r="B18" s="209">
        <v>50</v>
      </c>
      <c r="C18" s="208">
        <v>43</v>
      </c>
      <c r="D18" s="208">
        <v>95</v>
      </c>
      <c r="E18" s="208">
        <v>160</v>
      </c>
      <c r="F18" s="208">
        <v>250</v>
      </c>
      <c r="G18" s="208">
        <v>360</v>
      </c>
      <c r="H18" s="208">
        <v>650</v>
      </c>
      <c r="I18" s="208">
        <v>1000</v>
      </c>
      <c r="J18" s="208">
        <v>1470</v>
      </c>
      <c r="K18" s="208">
        <v>2700</v>
      </c>
      <c r="L18" s="208">
        <v>3900</v>
      </c>
      <c r="M18" s="208">
        <v>5700</v>
      </c>
      <c r="N18" s="208">
        <v>10700</v>
      </c>
      <c r="O18" s="208">
        <v>16500</v>
      </c>
      <c r="P18" s="208">
        <v>24000</v>
      </c>
    </row>
    <row r="19" spans="1:16" x14ac:dyDescent="0.2">
      <c r="A19" s="209">
        <v>60</v>
      </c>
      <c r="B19" s="209">
        <v>80</v>
      </c>
      <c r="C19" s="208">
        <v>65</v>
      </c>
      <c r="D19" s="208">
        <v>140</v>
      </c>
      <c r="E19" s="208">
        <v>250</v>
      </c>
      <c r="F19" s="208">
        <v>400</v>
      </c>
      <c r="G19" s="208">
        <v>600</v>
      </c>
      <c r="H19" s="208">
        <v>1000</v>
      </c>
      <c r="I19" s="208">
        <v>1650</v>
      </c>
      <c r="J19" s="208">
        <v>2400</v>
      </c>
      <c r="K19" s="208">
        <v>4400</v>
      </c>
      <c r="L19" s="208">
        <v>6500</v>
      </c>
      <c r="M19" s="208">
        <v>9400</v>
      </c>
      <c r="N19" s="208">
        <v>17500</v>
      </c>
      <c r="O19" s="208">
        <v>27200</v>
      </c>
      <c r="P19" s="208">
        <v>38500</v>
      </c>
    </row>
    <row r="20" spans="1:16" x14ac:dyDescent="0.2">
      <c r="A20" s="209">
        <v>60</v>
      </c>
      <c r="B20" s="209">
        <v>120</v>
      </c>
      <c r="C20" s="208">
        <v>102</v>
      </c>
      <c r="D20" s="208">
        <v>240</v>
      </c>
      <c r="E20" s="208">
        <v>410</v>
      </c>
      <c r="F20" s="208">
        <v>610</v>
      </c>
      <c r="G20" s="208">
        <v>950</v>
      </c>
      <c r="H20" s="208">
        <v>1660</v>
      </c>
      <c r="I20" s="208">
        <v>2600</v>
      </c>
      <c r="J20" s="208">
        <v>3800</v>
      </c>
      <c r="K20" s="208">
        <v>6500</v>
      </c>
      <c r="L20" s="208">
        <v>10300</v>
      </c>
      <c r="M20" s="208">
        <v>14700</v>
      </c>
      <c r="N20" s="208">
        <v>26400</v>
      </c>
      <c r="O20" s="208">
        <v>41000</v>
      </c>
      <c r="P20" s="208">
        <v>58000</v>
      </c>
    </row>
    <row r="21" spans="1:16" x14ac:dyDescent="0.2">
      <c r="A21" s="209">
        <v>80</v>
      </c>
      <c r="B21" s="209">
        <v>50</v>
      </c>
      <c r="C21" s="208">
        <v>53</v>
      </c>
      <c r="D21" s="208">
        <v>120</v>
      </c>
      <c r="E21" s="208">
        <v>215</v>
      </c>
      <c r="F21" s="208">
        <v>315</v>
      </c>
      <c r="G21" s="208">
        <v>460</v>
      </c>
      <c r="H21" s="208">
        <v>870</v>
      </c>
      <c r="I21" s="208">
        <v>1300</v>
      </c>
      <c r="J21" s="208">
        <v>1900</v>
      </c>
      <c r="K21" s="208">
        <v>3200</v>
      </c>
      <c r="L21" s="208">
        <v>5200</v>
      </c>
      <c r="M21" s="208">
        <v>7000</v>
      </c>
      <c r="N21" s="208">
        <v>13700</v>
      </c>
      <c r="O21" s="208">
        <v>21200</v>
      </c>
      <c r="P21" s="208">
        <v>29500</v>
      </c>
    </row>
    <row r="22" spans="1:16" x14ac:dyDescent="0.2">
      <c r="A22" s="209">
        <v>80</v>
      </c>
      <c r="B22" s="209">
        <v>80</v>
      </c>
      <c r="C22" s="208">
        <v>83</v>
      </c>
      <c r="D22" s="208">
        <v>190</v>
      </c>
      <c r="E22" s="208">
        <v>320</v>
      </c>
      <c r="F22" s="208">
        <v>500</v>
      </c>
      <c r="G22" s="208">
        <v>730</v>
      </c>
      <c r="H22" s="208">
        <v>1300</v>
      </c>
      <c r="I22" s="208">
        <v>2100</v>
      </c>
      <c r="J22" s="208">
        <v>3000</v>
      </c>
      <c r="K22" s="208">
        <v>5000</v>
      </c>
      <c r="L22" s="208">
        <v>8400</v>
      </c>
      <c r="M22" s="208">
        <v>12200</v>
      </c>
      <c r="N22" s="208">
        <v>21000</v>
      </c>
      <c r="O22" s="208">
        <v>33800</v>
      </c>
      <c r="P22" s="208">
        <v>47500</v>
      </c>
    </row>
    <row r="23" spans="1:16" x14ac:dyDescent="0.2">
      <c r="A23" s="209">
        <v>80</v>
      </c>
      <c r="B23" s="209">
        <v>120</v>
      </c>
      <c r="C23" s="208">
        <v>130</v>
      </c>
      <c r="D23" s="208">
        <v>290</v>
      </c>
      <c r="E23" s="208">
        <v>500</v>
      </c>
      <c r="F23" s="208">
        <v>750</v>
      </c>
      <c r="G23" s="208">
        <v>1100</v>
      </c>
      <c r="H23" s="208">
        <v>1900</v>
      </c>
      <c r="I23" s="208">
        <v>3000</v>
      </c>
      <c r="J23" s="208">
        <v>4200</v>
      </c>
      <c r="K23" s="208">
        <v>7800</v>
      </c>
      <c r="L23" s="208">
        <v>12000</v>
      </c>
      <c r="M23" s="208">
        <v>17500</v>
      </c>
      <c r="N23" s="208">
        <v>30600</v>
      </c>
      <c r="O23" s="208">
        <v>51600</v>
      </c>
      <c r="P23" s="208">
        <v>71700</v>
      </c>
    </row>
    <row r="24" spans="1:16" x14ac:dyDescent="0.2">
      <c r="A24" s="209">
        <v>100</v>
      </c>
      <c r="B24" s="209">
        <v>50</v>
      </c>
      <c r="C24" s="208">
        <v>63</v>
      </c>
      <c r="D24" s="208">
        <v>130</v>
      </c>
      <c r="E24" s="208">
        <v>240</v>
      </c>
      <c r="F24" s="208">
        <v>360</v>
      </c>
      <c r="G24" s="208">
        <v>570</v>
      </c>
      <c r="H24" s="208">
        <v>980</v>
      </c>
      <c r="I24" s="208">
        <v>1550</v>
      </c>
      <c r="J24" s="208">
        <v>2100</v>
      </c>
      <c r="K24" s="208">
        <v>4000</v>
      </c>
      <c r="L24" s="208">
        <v>6100</v>
      </c>
      <c r="M24" s="208">
        <v>8800</v>
      </c>
      <c r="N24" s="208">
        <v>16300</v>
      </c>
      <c r="O24" s="208">
        <v>26500</v>
      </c>
      <c r="P24" s="208">
        <v>35500</v>
      </c>
    </row>
    <row r="25" spans="1:16" x14ac:dyDescent="0.2">
      <c r="A25" s="209">
        <v>100</v>
      </c>
      <c r="B25" s="209">
        <v>80</v>
      </c>
      <c r="C25" s="208">
        <v>102</v>
      </c>
      <c r="D25" s="208">
        <v>240</v>
      </c>
      <c r="E25" s="208">
        <v>400</v>
      </c>
      <c r="F25" s="208">
        <v>610</v>
      </c>
      <c r="G25" s="208">
        <v>950</v>
      </c>
      <c r="H25" s="208">
        <v>1660</v>
      </c>
      <c r="I25" s="208">
        <v>2550</v>
      </c>
      <c r="J25" s="208">
        <v>3700</v>
      </c>
      <c r="K25" s="208">
        <v>6400</v>
      </c>
      <c r="L25" s="208">
        <v>10200</v>
      </c>
      <c r="M25" s="208">
        <v>14600</v>
      </c>
      <c r="N25" s="208">
        <v>26000</v>
      </c>
      <c r="O25" s="208">
        <v>41000</v>
      </c>
      <c r="P25" s="208">
        <v>57300</v>
      </c>
    </row>
    <row r="26" spans="1:16" x14ac:dyDescent="0.2">
      <c r="A26" s="209">
        <v>100</v>
      </c>
      <c r="B26" s="209">
        <v>120</v>
      </c>
      <c r="C26" s="208">
        <v>150</v>
      </c>
      <c r="D26" s="208">
        <v>350</v>
      </c>
      <c r="E26" s="208">
        <v>600</v>
      </c>
      <c r="F26" s="208">
        <v>900</v>
      </c>
      <c r="G26" s="208">
        <v>1370</v>
      </c>
      <c r="H26" s="208">
        <v>2400</v>
      </c>
      <c r="I26" s="208">
        <v>3700</v>
      </c>
      <c r="J26" s="208">
        <v>5000</v>
      </c>
      <c r="K26" s="208">
        <v>9100</v>
      </c>
      <c r="L26" s="208">
        <v>15000</v>
      </c>
      <c r="M26" s="208">
        <v>21600</v>
      </c>
      <c r="N26" s="208">
        <v>38000</v>
      </c>
      <c r="O26" s="208">
        <v>61500</v>
      </c>
      <c r="P26" s="208">
        <v>86300</v>
      </c>
    </row>
    <row r="27" spans="1:16" x14ac:dyDescent="0.2">
      <c r="A27" s="209">
        <v>120</v>
      </c>
      <c r="B27" s="209">
        <v>50</v>
      </c>
      <c r="C27" s="208">
        <v>74</v>
      </c>
      <c r="D27" s="208">
        <v>160</v>
      </c>
      <c r="E27" s="208">
        <v>290</v>
      </c>
      <c r="F27" s="208">
        <v>440</v>
      </c>
      <c r="G27" s="208">
        <v>660</v>
      </c>
      <c r="H27" s="208">
        <v>1100</v>
      </c>
      <c r="I27" s="208">
        <v>1850</v>
      </c>
      <c r="J27" s="208">
        <v>2600</v>
      </c>
      <c r="K27" s="208">
        <v>4600</v>
      </c>
      <c r="L27" s="208">
        <v>7000</v>
      </c>
      <c r="M27" s="208">
        <v>10500</v>
      </c>
      <c r="N27" s="208">
        <v>18600</v>
      </c>
      <c r="O27" s="208">
        <v>29200</v>
      </c>
      <c r="P27" s="208">
        <v>41000</v>
      </c>
    </row>
    <row r="28" spans="1:16" x14ac:dyDescent="0.2">
      <c r="A28" s="209">
        <v>120</v>
      </c>
      <c r="B28" s="209">
        <v>80</v>
      </c>
      <c r="C28" s="208">
        <v>120</v>
      </c>
      <c r="D28" s="208">
        <v>270</v>
      </c>
      <c r="E28" s="208">
        <v>450</v>
      </c>
      <c r="F28" s="208">
        <v>710</v>
      </c>
      <c r="G28" s="208">
        <v>1030</v>
      </c>
      <c r="H28" s="208">
        <v>1800</v>
      </c>
      <c r="I28" s="208">
        <v>2800</v>
      </c>
      <c r="J28" s="208">
        <v>4150</v>
      </c>
      <c r="K28" s="208">
        <v>7200</v>
      </c>
      <c r="L28" s="208">
        <v>11600</v>
      </c>
      <c r="M28" s="208">
        <v>16500</v>
      </c>
      <c r="N28" s="208">
        <v>29200</v>
      </c>
      <c r="O28" s="208">
        <v>48000</v>
      </c>
      <c r="P28" s="208">
        <v>73800</v>
      </c>
    </row>
    <row r="29" spans="1:16" x14ac:dyDescent="0.2">
      <c r="A29" s="209">
        <v>120</v>
      </c>
      <c r="B29" s="209">
        <v>120</v>
      </c>
      <c r="C29" s="208">
        <v>175</v>
      </c>
      <c r="D29" s="208">
        <v>400</v>
      </c>
      <c r="E29" s="208">
        <v>680</v>
      </c>
      <c r="F29" s="208">
        <v>1060</v>
      </c>
      <c r="G29" s="208">
        <v>1520</v>
      </c>
      <c r="H29" s="208">
        <v>2850</v>
      </c>
      <c r="I29" s="208">
        <v>4300</v>
      </c>
      <c r="J29" s="208">
        <v>6500</v>
      </c>
      <c r="K29" s="208">
        <v>10700</v>
      </c>
      <c r="L29" s="208">
        <v>17500</v>
      </c>
      <c r="M29" s="208">
        <v>26000</v>
      </c>
      <c r="N29" s="208">
        <v>44300</v>
      </c>
      <c r="O29" s="208">
        <v>70200</v>
      </c>
      <c r="P29" s="208">
        <v>97700</v>
      </c>
    </row>
    <row r="30" spans="1:16" x14ac:dyDescent="0.2">
      <c r="A30" s="209">
        <v>150</v>
      </c>
      <c r="B30" s="209">
        <v>50</v>
      </c>
      <c r="C30" s="208">
        <v>90</v>
      </c>
      <c r="D30" s="208">
        <v>208</v>
      </c>
      <c r="E30" s="208">
        <v>340</v>
      </c>
      <c r="F30" s="208">
        <v>550</v>
      </c>
      <c r="G30" s="208">
        <v>820</v>
      </c>
      <c r="H30" s="208">
        <v>1380</v>
      </c>
      <c r="I30" s="208">
        <v>2230</v>
      </c>
      <c r="J30" s="208">
        <v>3220</v>
      </c>
      <c r="K30" s="208">
        <v>5500</v>
      </c>
      <c r="L30" s="208">
        <v>8800</v>
      </c>
      <c r="M30" s="208">
        <v>12900</v>
      </c>
      <c r="N30" s="208">
        <v>22000</v>
      </c>
      <c r="O30" s="208">
        <v>35600</v>
      </c>
      <c r="P30" s="208">
        <v>50000</v>
      </c>
    </row>
    <row r="31" spans="1:16" x14ac:dyDescent="0.2">
      <c r="A31" s="209">
        <v>150</v>
      </c>
      <c r="B31" s="209">
        <v>80</v>
      </c>
      <c r="C31" s="208">
        <v>145</v>
      </c>
      <c r="D31" s="208">
        <v>320</v>
      </c>
      <c r="E31" s="208">
        <v>570</v>
      </c>
      <c r="F31" s="208">
        <v>900</v>
      </c>
      <c r="G31" s="208">
        <v>1250</v>
      </c>
      <c r="H31" s="208">
        <v>2200</v>
      </c>
      <c r="I31" s="208">
        <v>3400</v>
      </c>
      <c r="J31" s="208">
        <v>4900</v>
      </c>
      <c r="K31" s="208">
        <v>8500</v>
      </c>
      <c r="L31" s="208">
        <v>14000</v>
      </c>
      <c r="M31" s="208">
        <v>20000</v>
      </c>
      <c r="N31" s="208">
        <v>35500</v>
      </c>
      <c r="O31" s="208">
        <v>57500</v>
      </c>
      <c r="P31" s="208">
        <v>79800</v>
      </c>
    </row>
    <row r="32" spans="1:16" x14ac:dyDescent="0.2">
      <c r="A32" s="209">
        <v>150</v>
      </c>
      <c r="B32" s="209">
        <v>120</v>
      </c>
      <c r="C32" s="208">
        <v>215</v>
      </c>
      <c r="D32" s="208">
        <v>450</v>
      </c>
      <c r="E32" s="208">
        <v>850</v>
      </c>
      <c r="F32" s="208">
        <v>1280</v>
      </c>
      <c r="G32" s="208">
        <v>1890</v>
      </c>
      <c r="H32" s="208">
        <v>3400</v>
      </c>
      <c r="I32" s="208">
        <v>5300</v>
      </c>
      <c r="J32" s="208">
        <v>7500</v>
      </c>
      <c r="K32" s="208">
        <v>13400</v>
      </c>
      <c r="L32" s="208">
        <v>20600</v>
      </c>
      <c r="M32" s="208">
        <v>30000</v>
      </c>
      <c r="N32" s="208">
        <v>55500</v>
      </c>
      <c r="O32" s="208">
        <v>85500</v>
      </c>
      <c r="P32" s="208">
        <v>120000</v>
      </c>
    </row>
    <row r="33" spans="1:16" x14ac:dyDescent="0.2">
      <c r="A33" s="209">
        <v>200</v>
      </c>
      <c r="B33" s="209">
        <v>50</v>
      </c>
      <c r="C33" s="208">
        <v>110</v>
      </c>
      <c r="D33" s="208">
        <v>265</v>
      </c>
      <c r="E33" s="208">
        <v>450</v>
      </c>
      <c r="F33" s="208">
        <v>680</v>
      </c>
      <c r="G33" s="208">
        <v>1020</v>
      </c>
      <c r="H33" s="208">
        <v>1780</v>
      </c>
      <c r="I33" s="208">
        <v>2800</v>
      </c>
      <c r="J33" s="208">
        <v>4120</v>
      </c>
      <c r="K33" s="208">
        <v>7100</v>
      </c>
      <c r="L33" s="208">
        <v>11500</v>
      </c>
      <c r="M33" s="208">
        <v>16300</v>
      </c>
      <c r="N33" s="208">
        <v>28500</v>
      </c>
      <c r="O33" s="208">
        <v>45300</v>
      </c>
      <c r="P33" s="208">
        <v>64000</v>
      </c>
    </row>
    <row r="34" spans="1:16" x14ac:dyDescent="0.2">
      <c r="A34" s="209">
        <v>200</v>
      </c>
      <c r="B34" s="209">
        <v>80</v>
      </c>
      <c r="C34" s="208">
        <v>180</v>
      </c>
      <c r="D34" s="208">
        <v>410</v>
      </c>
      <c r="E34" s="208">
        <v>700</v>
      </c>
      <c r="F34" s="208">
        <v>1100</v>
      </c>
      <c r="G34" s="208">
        <v>1560</v>
      </c>
      <c r="H34" s="208">
        <v>2910</v>
      </c>
      <c r="I34" s="208">
        <v>4400</v>
      </c>
      <c r="J34" s="208">
        <v>6600</v>
      </c>
      <c r="K34" s="208">
        <v>11000</v>
      </c>
      <c r="L34" s="208">
        <v>18000</v>
      </c>
      <c r="M34" s="208">
        <v>26600</v>
      </c>
      <c r="N34" s="208">
        <v>46000</v>
      </c>
      <c r="O34" s="208">
        <v>72300</v>
      </c>
      <c r="P34" s="208">
        <v>100000</v>
      </c>
    </row>
    <row r="35" spans="1:16" x14ac:dyDescent="0.2">
      <c r="A35" s="209">
        <v>200</v>
      </c>
      <c r="B35" s="209">
        <v>120</v>
      </c>
      <c r="C35" s="208">
        <v>250</v>
      </c>
      <c r="D35" s="208">
        <v>600</v>
      </c>
      <c r="E35" s="208">
        <v>1100</v>
      </c>
      <c r="F35" s="208">
        <v>1630</v>
      </c>
      <c r="G35" s="208">
        <v>2400</v>
      </c>
      <c r="H35" s="208">
        <v>4350</v>
      </c>
      <c r="I35" s="208">
        <v>6800</v>
      </c>
      <c r="J35" s="208">
        <v>9400</v>
      </c>
      <c r="K35" s="208">
        <v>16900</v>
      </c>
      <c r="L35" s="208">
        <v>25900</v>
      </c>
      <c r="M35" s="208">
        <v>37000</v>
      </c>
      <c r="N35" s="208">
        <v>70600</v>
      </c>
      <c r="O35" s="208">
        <v>109000</v>
      </c>
      <c r="P35" s="208">
        <v>152000</v>
      </c>
    </row>
  </sheetData>
  <mergeCells count="2">
    <mergeCell ref="A1:B1"/>
    <mergeCell ref="C1:P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9AE3F-81DD-48B2-B8F8-5BC8BAB2FC7B}">
  <sheetPr codeName="Sheet7"/>
  <dimension ref="B3:B75"/>
  <sheetViews>
    <sheetView workbookViewId="0">
      <selection activeCell="L11" sqref="L11"/>
    </sheetView>
  </sheetViews>
  <sheetFormatPr defaultRowHeight="12.75" x14ac:dyDescent="0.2"/>
  <sheetData>
    <row r="3" spans="2:2" ht="30" x14ac:dyDescent="0.2">
      <c r="B3" s="234" t="s">
        <v>231</v>
      </c>
    </row>
    <row r="5" spans="2:2" x14ac:dyDescent="0.2">
      <c r="B5" s="99" t="s">
        <v>232</v>
      </c>
    </row>
    <row r="7" spans="2:2" x14ac:dyDescent="0.2">
      <c r="B7" s="99" t="s">
        <v>233</v>
      </c>
    </row>
    <row r="9" spans="2:2" x14ac:dyDescent="0.2">
      <c r="B9" s="99" t="s">
        <v>234</v>
      </c>
    </row>
    <row r="13" spans="2:2" ht="23.25" x14ac:dyDescent="0.2">
      <c r="B13" s="235" t="s">
        <v>235</v>
      </c>
    </row>
    <row r="15" spans="2:2" x14ac:dyDescent="0.2">
      <c r="B15" s="99" t="s">
        <v>236</v>
      </c>
    </row>
    <row r="17" spans="2:2" x14ac:dyDescent="0.2">
      <c r="B17" s="236" t="s">
        <v>237</v>
      </c>
    </row>
    <row r="18" spans="2:2" x14ac:dyDescent="0.2">
      <c r="B18" s="63"/>
    </row>
    <row r="19" spans="2:2" x14ac:dyDescent="0.2">
      <c r="B19" s="127" t="s">
        <v>238</v>
      </c>
    </row>
    <row r="20" spans="2:2" x14ac:dyDescent="0.2">
      <c r="B20" s="63"/>
    </row>
    <row r="21" spans="2:2" x14ac:dyDescent="0.2">
      <c r="B21" s="57" t="s">
        <v>239</v>
      </c>
    </row>
    <row r="22" spans="2:2" x14ac:dyDescent="0.2">
      <c r="B22" s="63"/>
    </row>
    <row r="23" spans="2:2" x14ac:dyDescent="0.2">
      <c r="B23" s="127" t="s">
        <v>240</v>
      </c>
    </row>
    <row r="24" spans="2:2" x14ac:dyDescent="0.2">
      <c r="B24" s="63"/>
    </row>
    <row r="25" spans="2:2" x14ac:dyDescent="0.2">
      <c r="B25" s="57" t="s">
        <v>241</v>
      </c>
    </row>
    <row r="26" spans="2:2" x14ac:dyDescent="0.2">
      <c r="B26" s="63"/>
    </row>
    <row r="27" spans="2:2" x14ac:dyDescent="0.2">
      <c r="B27" s="127" t="s">
        <v>242</v>
      </c>
    </row>
    <row r="28" spans="2:2" x14ac:dyDescent="0.2">
      <c r="B28" s="63"/>
    </row>
    <row r="29" spans="2:2" x14ac:dyDescent="0.2">
      <c r="B29" s="57" t="s">
        <v>243</v>
      </c>
    </row>
    <row r="33" spans="2:2" ht="23.25" x14ac:dyDescent="0.2">
      <c r="B33" s="235" t="s">
        <v>244</v>
      </c>
    </row>
    <row r="35" spans="2:2" x14ac:dyDescent="0.2">
      <c r="B35" s="236" t="s">
        <v>245</v>
      </c>
    </row>
    <row r="36" spans="2:2" x14ac:dyDescent="0.2">
      <c r="B36" s="63"/>
    </row>
    <row r="37" spans="2:2" x14ac:dyDescent="0.2">
      <c r="B37" s="57" t="s">
        <v>246</v>
      </c>
    </row>
    <row r="38" spans="2:2" x14ac:dyDescent="0.2">
      <c r="B38" s="63"/>
    </row>
    <row r="39" spans="2:2" x14ac:dyDescent="0.2">
      <c r="B39" s="57" t="s">
        <v>247</v>
      </c>
    </row>
    <row r="40" spans="2:2" x14ac:dyDescent="0.2">
      <c r="B40" s="57" t="s">
        <v>248</v>
      </c>
    </row>
    <row r="41" spans="2:2" x14ac:dyDescent="0.2">
      <c r="B41" s="63"/>
    </row>
    <row r="42" spans="2:2" x14ac:dyDescent="0.2">
      <c r="B42" s="57" t="s">
        <v>249</v>
      </c>
    </row>
    <row r="44" spans="2:2" x14ac:dyDescent="0.2">
      <c r="B44" s="236" t="s">
        <v>250</v>
      </c>
    </row>
    <row r="46" spans="2:2" x14ac:dyDescent="0.2">
      <c r="B46" s="99" t="s">
        <v>251</v>
      </c>
    </row>
    <row r="48" spans="2:2" x14ac:dyDescent="0.2">
      <c r="B48" s="236" t="s">
        <v>252</v>
      </c>
    </row>
    <row r="50" spans="2:2" x14ac:dyDescent="0.2">
      <c r="B50" s="99" t="s">
        <v>253</v>
      </c>
    </row>
    <row r="52" spans="2:2" x14ac:dyDescent="0.2">
      <c r="B52" s="236" t="s">
        <v>254</v>
      </c>
    </row>
    <row r="53" spans="2:2" x14ac:dyDescent="0.2">
      <c r="B53" s="99" t="s">
        <v>255</v>
      </c>
    </row>
    <row r="55" spans="2:2" x14ac:dyDescent="0.2">
      <c r="B55" s="99" t="s">
        <v>256</v>
      </c>
    </row>
    <row r="57" spans="2:2" x14ac:dyDescent="0.2">
      <c r="B57" s="236" t="s">
        <v>257</v>
      </c>
    </row>
    <row r="59" spans="2:2" x14ac:dyDescent="0.2">
      <c r="B59" s="99" t="s">
        <v>258</v>
      </c>
    </row>
    <row r="62" spans="2:2" ht="23.25" x14ac:dyDescent="0.2">
      <c r="B62" s="235" t="s">
        <v>259</v>
      </c>
    </row>
    <row r="64" spans="2:2" x14ac:dyDescent="0.2">
      <c r="B64" s="99" t="s">
        <v>260</v>
      </c>
    </row>
    <row r="65" spans="2:2" x14ac:dyDescent="0.2">
      <c r="B65" s="99" t="s">
        <v>261</v>
      </c>
    </row>
    <row r="66" spans="2:2" x14ac:dyDescent="0.2">
      <c r="B66" s="99" t="s">
        <v>262</v>
      </c>
    </row>
    <row r="67" spans="2:2" x14ac:dyDescent="0.2">
      <c r="B67" s="99" t="s">
        <v>263</v>
      </c>
    </row>
    <row r="69" spans="2:2" x14ac:dyDescent="0.2">
      <c r="B69" s="236" t="s">
        <v>264</v>
      </c>
    </row>
    <row r="70" spans="2:2" x14ac:dyDescent="0.2">
      <c r="B70" s="63"/>
    </row>
    <row r="71" spans="2:2" x14ac:dyDescent="0.2">
      <c r="B71" s="57" t="s">
        <v>265</v>
      </c>
    </row>
    <row r="72" spans="2:2" x14ac:dyDescent="0.2">
      <c r="B72" s="63"/>
    </row>
    <row r="73" spans="2:2" x14ac:dyDescent="0.2">
      <c r="B73" s="57" t="s">
        <v>266</v>
      </c>
    </row>
    <row r="74" spans="2:2" x14ac:dyDescent="0.2">
      <c r="B74" s="63"/>
    </row>
    <row r="75" spans="2:2" x14ac:dyDescent="0.2">
      <c r="B75" s="57" t="s">
        <v>267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39</vt:i4>
      </vt:variant>
    </vt:vector>
  </HeadingPairs>
  <TitlesOfParts>
    <vt:vector size="50" baseType="lpstr">
      <vt:lpstr>Config</vt:lpstr>
      <vt:lpstr>Calculator</vt:lpstr>
      <vt:lpstr>Summary</vt:lpstr>
      <vt:lpstr>Velocity</vt:lpstr>
      <vt:lpstr>BarometricPressure</vt:lpstr>
      <vt:lpstr>SaturationChartISA</vt:lpstr>
      <vt:lpstr>SaturationChartMetric</vt:lpstr>
      <vt:lpstr>Valves</vt:lpstr>
      <vt:lpstr>Steam Flow Table</vt:lpstr>
      <vt:lpstr>SteamPipeSize</vt:lpstr>
      <vt:lpstr>Help</vt:lpstr>
      <vt:lpstr>A</vt:lpstr>
      <vt:lpstr>AP</vt:lpstr>
      <vt:lpstr>App</vt:lpstr>
      <vt:lpstr>BarPressure</vt:lpstr>
      <vt:lpstr>cpdh</vt:lpstr>
      <vt:lpstr>Ctrl</vt:lpstr>
      <vt:lpstr>Cv</vt:lpstr>
      <vt:lpstr>cvOneThird</vt:lpstr>
      <vt:lpstr>CvS</vt:lpstr>
      <vt:lpstr>cvTwoThird</vt:lpstr>
      <vt:lpstr>DisclaimerRow</vt:lpstr>
      <vt:lpstr>DisclaimerValue</vt:lpstr>
      <vt:lpstr>DSP</vt:lpstr>
      <vt:lpstr>f_cfoQ</vt:lpstr>
      <vt:lpstr>f_cpdh</vt:lpstr>
      <vt:lpstr>FlowRate</vt:lpstr>
      <vt:lpstr>frOneThird</vt:lpstr>
      <vt:lpstr>frTwoThird</vt:lpstr>
      <vt:lpstr>h</vt:lpstr>
      <vt:lpstr>PI</vt:lpstr>
      <vt:lpstr>Pia</vt:lpstr>
      <vt:lpstr>piValue</vt:lpstr>
      <vt:lpstr>PO</vt:lpstr>
      <vt:lpstr>POA</vt:lpstr>
      <vt:lpstr>poValue</vt:lpstr>
      <vt:lpstr>PSI</vt:lpstr>
      <vt:lpstr>Q</vt:lpstr>
      <vt:lpstr>qValue</vt:lpstr>
      <vt:lpstr>rDate</vt:lpstr>
      <vt:lpstr>rUpdMode</vt:lpstr>
      <vt:lpstr>rVersion</vt:lpstr>
      <vt:lpstr>SATURATIONCHART</vt:lpstr>
      <vt:lpstr>SATURATIONCHARTMETRIC</vt:lpstr>
      <vt:lpstr>uPipeSize</vt:lpstr>
      <vt:lpstr>uSteamType</vt:lpstr>
      <vt:lpstr>uValveCv</vt:lpstr>
      <vt:lpstr>uValveSize</vt:lpstr>
      <vt:lpstr>uValveType</vt:lpstr>
      <vt:lpstr>valveSize</vt:lpstr>
    </vt:vector>
  </TitlesOfParts>
  <Company>Watson McDaniel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Steam Utilities Workbook</dc:title>
  <dc:creator>Rick.Smith@us.belimo.com</dc:creator>
  <cp:keywords>steam, flash, condensate, pipe, sizing, saturated</cp:keywords>
  <dc:description>version 2.0 added the condensate pipe sizing sheet</dc:description>
  <cp:lastModifiedBy>Smith Rick</cp:lastModifiedBy>
  <cp:lastPrinted>2001-01-25T03:18:24Z</cp:lastPrinted>
  <dcterms:created xsi:type="dcterms:W3CDTF">1997-04-07T05:21:00Z</dcterms:created>
  <dcterms:modified xsi:type="dcterms:W3CDTF">2025-08-25T18:42:17Z</dcterms:modified>
</cp:coreProperties>
</file>