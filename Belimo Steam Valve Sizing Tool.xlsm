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belimoag-my.sharepoint.com/personal/rick_smith_us_belimo_com/Documents/Documents/9_Steam Applications/"/>
    </mc:Choice>
  </mc:AlternateContent>
  <xr:revisionPtr revIDLastSave="79" documentId="13_ncr:1_{6C4D37B4-215E-4B09-8C63-E42957CD310E}" xr6:coauthVersionLast="47" xr6:coauthVersionMax="47" xr10:uidLastSave="{63815891-BFE1-4F95-91B9-CAE4D22C3D85}"/>
  <bookViews>
    <workbookView xWindow="-23148" yWindow="-108" windowWidth="23256" windowHeight="12576" tabRatio="792" firstSheet="1" activeTab="1" xr2:uid="{00000000-000D-0000-FFFF-FFFF00000000}"/>
  </bookViews>
  <sheets>
    <sheet name="Config" sheetId="18" state="hidden" r:id="rId1"/>
    <sheet name="Calculator" sheetId="24" r:id="rId2"/>
    <sheet name="OneThirdTwoThird" sheetId="39" r:id="rId3"/>
    <sheet name="Summary" sheetId="27" r:id="rId4"/>
    <sheet name="Tools" sheetId="35" r:id="rId5"/>
    <sheet name="SteamPipeSize" sheetId="33" r:id="rId6"/>
    <sheet name="Help" sheetId="34" state="hidden" r:id="rId7"/>
    <sheet name="BarometricPressure" sheetId="25" state="hidden" r:id="rId8"/>
    <sheet name="SaturationChartISA" sheetId="6" r:id="rId9"/>
    <sheet name="SaturationChartMetric" sheetId="21" state="hidden" r:id="rId10"/>
    <sheet name="Valves" sheetId="28" r:id="rId11"/>
    <sheet name="Velocity" sheetId="36" r:id="rId12"/>
    <sheet name="Updates" sheetId="37" state="hidden" r:id="rId13"/>
  </sheets>
  <functionGroups builtInGroupCount="19"/>
  <definedNames>
    <definedName name="_xleta.IF" hidden="1" xlm="1">#NAME?</definedName>
    <definedName name="_xleta.T" hidden="1" xlm="1">#NAME?</definedName>
    <definedName name="A">Calculator!$K$32</definedName>
    <definedName name="AP">Calculator!$C$15</definedName>
    <definedName name="App">Calculator!$D$6</definedName>
    <definedName name="BarPressure">Calculator!$D$15</definedName>
    <definedName name="CoeffType">Calculator!$D$28</definedName>
    <definedName name="cpdh">Calculator!$H$24</definedName>
    <definedName name="Ctrl">Calculator!$D$8</definedName>
    <definedName name="Cv">Calculator!$C$28</definedName>
    <definedName name="CvOneThird">OneThirdTwoThird!$C$5</definedName>
    <definedName name="CvS">Calculator!$H$23</definedName>
    <definedName name="CvTwoThird">OneThirdTwoThird!$D$5</definedName>
    <definedName name="DisclaimerRow">Summary!$AB$2</definedName>
    <definedName name="DisclaimerValue">Summary!$AB$1</definedName>
    <definedName name="DSP">Calculator!$C$24</definedName>
    <definedName name="f_cfoQ">Calculator!$N$27</definedName>
    <definedName name="f_cpdh">Calculator!$N$26</definedName>
    <definedName name="FlowRate">Calculator!$D$12</definedName>
    <definedName name="frOneThird">OneThirdTwoThird!$C$7</definedName>
    <definedName name="frTwoThird">OneThirdTwoThird!$D$7</definedName>
    <definedName name="GenericCurveType">Config!$B$23</definedName>
    <definedName name="GenericRangeability">Config!$B$24</definedName>
    <definedName name="h">Calculator!$C$25</definedName>
    <definedName name="NoiseGenericFd">Config!$B$20</definedName>
    <definedName name="NoiseGenericFL">Config!$B$19</definedName>
    <definedName name="PI">Calculator!$C$26</definedName>
    <definedName name="Pia">Calculator!$N$23</definedName>
    <definedName name="PipeNPS">Config!$A$2:$A$15</definedName>
    <definedName name="PipeOD">Config!$B$2:$B$15</definedName>
    <definedName name="PipeSch40Wall">Config!$C$2:$C$15</definedName>
    <definedName name="PipeSch80Wall">Config!$D$2:$D$15</definedName>
    <definedName name="piValue">Calculator!$C$13</definedName>
    <definedName name="PO">Calculator!$N$22</definedName>
    <definedName name="POA">Calculator!$C$27</definedName>
    <definedName name="poValue">Calculator!$C$14</definedName>
    <definedName name="PSI">Calculator!$D$13</definedName>
    <definedName name="PSO">Calculator!$D$14</definedName>
    <definedName name="Q">Calculator!$N$25</definedName>
    <definedName name="qValue">Calculator!$C$12</definedName>
    <definedName name="rDate">Calculator!$H$55</definedName>
    <definedName name="rUpdMode">Calculator!$H$56</definedName>
    <definedName name="rVersion">Calculator!$H$54</definedName>
    <definedName name="SATURATIONCHART">SaturationChartISA!$A$1</definedName>
    <definedName name="SATURATIONCHARTMETRIC">SaturationChartMetric!$A$1</definedName>
    <definedName name="valveSize">Calculator!$K$32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0" i="28" l="1"/>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M10" i="28"/>
  <c r="M9" i="28"/>
  <c r="M8" i="28"/>
  <c r="M7" i="28"/>
  <c r="M6" i="28"/>
  <c r="M5" i="28"/>
  <c r="M4" i="28"/>
  <c r="M3" i="28"/>
  <c r="M2" i="28"/>
  <c r="G20" i="24"/>
  <c r="B24" i="24" l="1"/>
  <c r="D23" i="24"/>
  <c r="D27" i="24"/>
  <c r="D26" i="24"/>
  <c r="D25" i="24"/>
  <c r="D24" i="24"/>
  <c r="B56" i="35"/>
  <c r="R53" i="35"/>
  <c r="R50" i="35"/>
  <c r="B50" i="35"/>
  <c r="I48" i="35"/>
  <c r="R47" i="35"/>
  <c r="X42" i="35"/>
  <c r="B42" i="35"/>
  <c r="Q41" i="35"/>
  <c r="X40" i="35"/>
  <c r="X43" i="35" s="1"/>
  <c r="J36" i="35"/>
  <c r="B35" i="35"/>
  <c r="W34" i="35"/>
  <c r="W35" i="35" s="1"/>
  <c r="T34" i="35"/>
  <c r="T41" i="35" s="1"/>
  <c r="S34" i="35"/>
  <c r="S41" i="35" s="1"/>
  <c r="R34" i="35"/>
  <c r="R41" i="35" s="1"/>
  <c r="Q34" i="35"/>
  <c r="P34" i="35"/>
  <c r="P41" i="35" s="1"/>
  <c r="O34" i="35"/>
  <c r="O41" i="35" s="1"/>
  <c r="N34" i="35"/>
  <c r="N41" i="35" s="1"/>
  <c r="M34" i="35"/>
  <c r="M41" i="35" s="1"/>
  <c r="L34" i="35"/>
  <c r="L41" i="35" s="1"/>
  <c r="K34" i="35"/>
  <c r="K41" i="35" s="1"/>
  <c r="J34" i="35"/>
  <c r="J41" i="35" s="1"/>
  <c r="I34" i="35"/>
  <c r="I41" i="35" s="1"/>
  <c r="B28" i="35"/>
  <c r="S26" i="35"/>
  <c r="T26" i="35" s="1"/>
  <c r="M26" i="35"/>
  <c r="S25" i="35"/>
  <c r="T25" i="35" s="1"/>
  <c r="I25" i="35"/>
  <c r="S24" i="35"/>
  <c r="T24" i="35" s="1"/>
  <c r="X23" i="35"/>
  <c r="B20" i="35"/>
  <c r="X19" i="35"/>
  <c r="I18" i="35"/>
  <c r="J17" i="35" s="1"/>
  <c r="M17" i="35"/>
  <c r="I15" i="35"/>
  <c r="S13" i="35"/>
  <c r="S14" i="35" s="1"/>
  <c r="B13" i="35"/>
  <c r="X12" i="35"/>
  <c r="X13" i="35" s="1"/>
  <c r="C23" i="24" l="1"/>
  <c r="S2" i="28" l="1"/>
  <c r="R14" i="28"/>
  <c r="R13" i="28"/>
  <c r="R12" i="28"/>
  <c r="R11" i="28"/>
  <c r="R10" i="28"/>
  <c r="R9" i="28"/>
  <c r="R8" i="28"/>
  <c r="R7" i="28"/>
  <c r="R6" i="28"/>
  <c r="R5" i="28"/>
  <c r="R4" i="28"/>
  <c r="R3" i="28"/>
  <c r="R2"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Smith, Rick</author>
    <author>Brian Wheeler</author>
  </authors>
  <commentList>
    <comment ref="H21" authorId="0" shapeId="0" xr:uid="{9872F65C-6FED-446B-927D-5DFBCC88EE03}">
      <text>
        <r>
          <rPr>
            <b/>
            <sz val="9"/>
            <color indexed="81"/>
            <rFont val="Tahoma"/>
            <family val="2"/>
          </rPr>
          <t xml:space="preserve">K = Constant
Can be GPM or Cv
Result will be GPM or Cv
</t>
        </r>
      </text>
    </comment>
    <comment ref="S47" authorId="0" shapeId="0" xr:uid="{338D6F4A-6294-4EAD-ACDA-8B30CDE632FB}">
      <text>
        <r>
          <rPr>
            <b/>
            <sz val="9"/>
            <color indexed="81"/>
            <rFont val="Tahoma"/>
            <family val="2"/>
          </rPr>
          <t xml:space="preserve">Enter GPM
</t>
        </r>
        <r>
          <rPr>
            <sz val="9"/>
            <color indexed="81"/>
            <rFont val="Tahoma"/>
            <family val="2"/>
          </rPr>
          <t xml:space="preserve">
</t>
        </r>
      </text>
    </comment>
    <comment ref="T47" authorId="0" shapeId="0" xr:uid="{B20A4FCD-D7F8-4340-97AE-D330B1044D00}">
      <text>
        <r>
          <rPr>
            <b/>
            <sz val="9"/>
            <color indexed="81"/>
            <rFont val="Tahoma"/>
            <family val="2"/>
          </rPr>
          <t>Enter dT</t>
        </r>
        <r>
          <rPr>
            <sz val="9"/>
            <color indexed="81"/>
            <rFont val="Tahoma"/>
            <family val="2"/>
          </rPr>
          <t xml:space="preserve">
</t>
        </r>
      </text>
    </comment>
    <comment ref="I48" authorId="1" shapeId="0" xr:uid="{348DC80A-2E13-458D-BE61-7B5781395EBF}">
      <text>
        <r>
          <rPr>
            <b/>
            <sz val="8"/>
            <color indexed="81"/>
            <rFont val="Tahoma"/>
            <family val="2"/>
          </rPr>
          <t>THIS IS YOUR CALCULATED FLUID VELOCITY. 
DO NOT EXCEED:
 -  12 FPS RESILIENT SEAT
 -  20 FPS for VIC 
 -  30 FPS HIGH PERFORMANCE</t>
        </r>
      </text>
    </comment>
    <comment ref="S50" authorId="0" shapeId="0" xr:uid="{A8FDEA17-3C22-4130-848C-06A1A94B7B38}">
      <text>
        <r>
          <rPr>
            <b/>
            <sz val="9"/>
            <color indexed="81"/>
            <rFont val="Tahoma"/>
            <family val="2"/>
          </rPr>
          <t>Enter BTU's</t>
        </r>
        <r>
          <rPr>
            <sz val="9"/>
            <color indexed="81"/>
            <rFont val="Tahoma"/>
            <family val="2"/>
          </rPr>
          <t xml:space="preserve">
</t>
        </r>
      </text>
    </comment>
    <comment ref="T50" authorId="0" shapeId="0" xr:uid="{6AD77989-BB76-4775-A626-E2504DBF4A13}">
      <text>
        <r>
          <rPr>
            <b/>
            <sz val="9"/>
            <color indexed="81"/>
            <rFont val="Tahoma"/>
            <family val="2"/>
          </rPr>
          <t>Enter dT</t>
        </r>
        <r>
          <rPr>
            <sz val="9"/>
            <color indexed="81"/>
            <rFont val="Tahoma"/>
            <family val="2"/>
          </rPr>
          <t xml:space="preserve">
</t>
        </r>
      </text>
    </comment>
    <comment ref="S53" authorId="0" shapeId="0" xr:uid="{7E1D3FF4-9BB1-4523-9558-9693D7958E49}">
      <text>
        <r>
          <rPr>
            <b/>
            <sz val="9"/>
            <color indexed="81"/>
            <rFont val="Tahoma"/>
            <family val="2"/>
          </rPr>
          <t>Enter BTU's</t>
        </r>
        <r>
          <rPr>
            <sz val="9"/>
            <color indexed="81"/>
            <rFont val="Tahoma"/>
            <family val="2"/>
          </rPr>
          <t xml:space="preserve">
</t>
        </r>
      </text>
    </comment>
    <comment ref="T53" authorId="0" shapeId="0" xr:uid="{1ABC7BDD-00D2-449F-8E94-0AF5FF82D66D}">
      <text>
        <r>
          <rPr>
            <b/>
            <sz val="9"/>
            <color indexed="81"/>
            <rFont val="Tahoma"/>
            <family val="2"/>
          </rPr>
          <t>Enter GPM's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Rick</author>
  </authors>
  <commentList>
    <comment ref="E1" authorId="0" shapeId="0" xr:uid="{0C646C13-2F42-4097-BC22-59B28C2F20BC}">
      <text>
        <r>
          <rPr>
            <b/>
            <sz val="9"/>
            <color indexed="81"/>
            <rFont val="Tahoma"/>
            <family val="2"/>
          </rPr>
          <t>Smith Rick:</t>
        </r>
        <r>
          <rPr>
            <sz val="9"/>
            <color indexed="81"/>
            <rFont val="Tahoma"/>
            <family val="2"/>
          </rPr>
          <t xml:space="preserve">
Cv to Kv Calculation = Cv * 0.865
</t>
        </r>
      </text>
    </comment>
    <comment ref="M1" authorId="0" shapeId="0" xr:uid="{E0CFB7D6-B7F7-4A73-A9C1-006BF081EC03}">
      <text>
        <r>
          <rPr>
            <b/>
            <sz val="9"/>
            <color indexed="81"/>
            <rFont val="Tahoma"/>
            <family val="2"/>
          </rPr>
          <t>Dropdown Display (for Calculator J23)
Row 1 is deliberately '-Select-' (not a header) so it appears as a clear-selection option at the top of the Calculator!J23 dropdown.</t>
        </r>
      </text>
    </comment>
  </commentList>
</comments>
</file>

<file path=xl/sharedStrings.xml><?xml version="1.0" encoding="utf-8"?>
<sst xmlns="http://schemas.openxmlformats.org/spreadsheetml/2006/main" count="843" uniqueCount="566">
  <si>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</si>
  <si>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</si>
  <si>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</si>
  <si>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</si>
  <si>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</si>
  <si>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</si>
  <si>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</si>
  <si>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</si>
  <si>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</si>
  <si>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</si>
  <si>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</si>
  <si>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Heat (KJ/Kg)</t>
  </si>
  <si>
    <r>
      <t>Volume (m</t>
    </r>
    <r>
      <rPr>
        <b/>
        <vertAlign val="superscript"/>
        <sz val="10"/>
        <rFont val="Arial"/>
        <family val="2"/>
      </rPr>
      <t>3</t>
    </r>
    <r>
      <rPr>
        <b/>
        <sz val="10"/>
        <rFont val="Arial"/>
        <family val="2"/>
      </rPr>
      <t>/kg)</t>
    </r>
  </si>
  <si>
    <t>Volume (m3/kg)</t>
  </si>
  <si>
    <t>(°C)</t>
  </si>
  <si>
    <t>(bar, gage)</t>
  </si>
  <si>
    <t>(bar vac)</t>
  </si>
  <si>
    <t>Modulating</t>
  </si>
  <si>
    <t>LB/HR</t>
  </si>
  <si>
    <t>Atmospheric Pressure  [AP]</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</si>
  <si>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</si>
  <si>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</si>
  <si>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</si>
  <si>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</si>
  <si>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</si>
  <si>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</si>
  <si>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</si>
  <si>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</si>
  <si>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</si>
  <si>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</si>
  <si>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</si>
  <si>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</si>
  <si>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</si>
  <si>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</si>
  <si>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</si>
  <si>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</si>
  <si>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</si>
  <si>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</si>
  <si>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</si>
  <si>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</si>
  <si>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</si>
  <si>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</si>
  <si>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</si>
  <si>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</si>
  <si>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</si>
  <si>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</si>
  <si>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</si>
  <si>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</si>
  <si>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</si>
  <si>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</si>
  <si>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</si>
  <si>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</si>
  <si>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</si>
  <si>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</si>
  <si>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</si>
  <si>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</si>
  <si>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</si>
  <si>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</si>
  <si>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</si>
  <si>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</si>
  <si>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</si>
  <si>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</si>
  <si>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</si>
  <si>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</si>
  <si>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</si>
  <si>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</si>
  <si>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</si>
  <si>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</si>
  <si>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</si>
  <si>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</si>
  <si>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</si>
  <si>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</si>
  <si>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</si>
  <si>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</si>
  <si>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</si>
  <si>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</si>
  <si>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</si>
  <si>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</si>
  <si>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</si>
  <si>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</si>
  <si>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OUTLET Pressure  [PO]</t>
  </si>
  <si>
    <t>EDR</t>
  </si>
  <si>
    <t>BTU/HR</t>
  </si>
  <si>
    <t>Application</t>
  </si>
  <si>
    <t>Control</t>
  </si>
  <si>
    <t>Flow</t>
  </si>
  <si>
    <t>Heat Exchanger</t>
  </si>
  <si>
    <t>Fin Tube</t>
  </si>
  <si>
    <t>Radiator</t>
  </si>
  <si>
    <t>Coil</t>
  </si>
  <si>
    <t>Application  [APP]</t>
  </si>
  <si>
    <t>`</t>
  </si>
  <si>
    <t>PSIG</t>
  </si>
  <si>
    <t xml:space="preserve"> </t>
  </si>
  <si>
    <t>Cv</t>
  </si>
  <si>
    <t>Supply INLET Pressure [PI]</t>
  </si>
  <si>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</si>
  <si>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</si>
  <si>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</si>
  <si>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</si>
  <si>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</si>
  <si>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</si>
  <si>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</si>
  <si>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</si>
  <si>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</si>
  <si>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</si>
  <si>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</si>
  <si>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</si>
  <si>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</si>
  <si>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</si>
  <si>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</si>
  <si>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</si>
  <si>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</si>
  <si>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</si>
  <si>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</si>
  <si>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</si>
  <si>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</si>
  <si>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</si>
  <si>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</si>
  <si>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</si>
  <si>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</si>
  <si>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</si>
  <si>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</si>
  <si>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</si>
  <si>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</si>
  <si>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</si>
  <si>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</si>
  <si>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</si>
  <si>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</si>
  <si>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</si>
  <si>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</si>
  <si>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</si>
  <si>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</si>
  <si>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</si>
  <si>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</si>
  <si>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</si>
  <si>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</si>
  <si>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</si>
  <si>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</si>
  <si>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</si>
  <si>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</si>
  <si>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</si>
  <si>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</si>
  <si>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</si>
  <si>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</si>
  <si>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</si>
  <si>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</si>
  <si>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</si>
  <si>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</si>
  <si>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</si>
  <si>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</si>
  <si>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</si>
  <si>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</si>
  <si>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</si>
  <si>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</si>
  <si>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psig</t>
  </si>
  <si>
    <t>°F</t>
  </si>
  <si>
    <t>PI</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</si>
  <si>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</si>
  <si>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</si>
  <si>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</si>
  <si>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</si>
  <si>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</si>
  <si>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</si>
  <si>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</si>
  <si>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</si>
  <si>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</si>
  <si>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</si>
  <si>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</si>
  <si>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</si>
  <si>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</si>
  <si>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</si>
  <si>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</si>
  <si>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</si>
  <si>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</si>
  <si>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</si>
  <si>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</si>
  <si>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</si>
  <si>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</si>
  <si>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</si>
  <si>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</si>
  <si>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</si>
  <si>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</si>
  <si>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</si>
  <si>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</si>
  <si>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</si>
  <si>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</si>
  <si>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</si>
  <si>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</si>
  <si>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</si>
  <si>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</si>
  <si>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</si>
  <si>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</si>
  <si>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</si>
  <si>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</si>
  <si>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</si>
  <si>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</si>
  <si>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</si>
  <si>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</si>
  <si>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</si>
  <si>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</si>
  <si>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</si>
  <si>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</si>
  <si>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</si>
  <si>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</si>
  <si>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</si>
  <si>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</si>
  <si>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</si>
  <si>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</si>
  <si>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</si>
  <si>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</si>
  <si>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</si>
  <si>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</si>
  <si>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</si>
  <si>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</si>
  <si>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</si>
  <si>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</si>
  <si>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</si>
  <si>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</si>
  <si>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</si>
  <si>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</si>
  <si>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</si>
  <si>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</si>
  <si>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</si>
  <si>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</si>
  <si>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</si>
  <si>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</si>
  <si>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</si>
  <si>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</si>
  <si>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</si>
  <si>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</si>
  <si>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</si>
  <si>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</si>
  <si>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Nominal Valve Size (inches)</t>
  </si>
  <si>
    <t>Full Port Opening (inches)</t>
  </si>
  <si>
    <t>Standard Port Opening (inches)</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</si>
  <si>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</si>
  <si>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</si>
  <si>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</si>
  <si>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</si>
  <si>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</si>
  <si>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</si>
  <si>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</si>
  <si>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</si>
  <si>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</si>
  <si>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</si>
  <si>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</si>
  <si>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</si>
  <si>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</si>
  <si>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</si>
  <si>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V-Ball</t>
  </si>
  <si>
    <t>Globe</t>
  </si>
  <si>
    <t>Ball Area (sq-in)</t>
  </si>
  <si>
    <t>12-inch</t>
  </si>
  <si>
    <t>Butterfly</t>
  </si>
  <si>
    <t>Saturated</t>
  </si>
  <si>
    <t>Superheated</t>
  </si>
  <si>
    <t>(ft3/lb)</t>
  </si>
  <si>
    <t>Ball</t>
  </si>
  <si>
    <t>ValveType</t>
  </si>
  <si>
    <t>SteamType</t>
  </si>
  <si>
    <t>Model</t>
  </si>
  <si>
    <t>G665</t>
  </si>
  <si>
    <t>G680</t>
  </si>
  <si>
    <t>G6100</t>
  </si>
  <si>
    <t>G6125</t>
  </si>
  <si>
    <t>G6150</t>
  </si>
  <si>
    <t>for item # 13</t>
  </si>
  <si>
    <t>PO</t>
  </si>
  <si>
    <t>PIA</t>
  </si>
  <si>
    <t>Q</t>
  </si>
  <si>
    <t>TAG</t>
  </si>
  <si>
    <t>Temp Diags</t>
  </si>
  <si>
    <r>
      <t xml:space="preserve">Converted Flowrate </t>
    </r>
    <r>
      <rPr>
        <b/>
        <sz val="10"/>
        <rFont val="Arial"/>
        <family val="2"/>
      </rPr>
      <t>[Q]</t>
    </r>
  </si>
  <si>
    <t>= Input Fields</t>
  </si>
  <si>
    <t>= Output Fields</t>
  </si>
  <si>
    <t>Convert Amp to Ohms</t>
  </si>
  <si>
    <t>Cv = GPM / Sq Root of the Delta P</t>
  </si>
  <si>
    <t>Coil DeltaP Method</t>
  </si>
  <si>
    <t xml:space="preserve"> ΔP Calculator = GPM / Cv Squared</t>
  </si>
  <si>
    <t>Authoratative Method of Valve Sizing</t>
  </si>
  <si>
    <t>Branch Pressure</t>
  </si>
  <si>
    <t>Voltage</t>
  </si>
  <si>
    <t>FLOWRATE</t>
  </si>
  <si>
    <t>GPM</t>
  </si>
  <si>
    <t>Design Flow</t>
  </si>
  <si>
    <t>GPM Req'd</t>
  </si>
  <si>
    <t>GPM of Coil</t>
  </si>
  <si>
    <t>Amps</t>
  </si>
  <si>
    <t>Cv of the Valve</t>
  </si>
  <si>
    <t>Pressure Drop of Valve</t>
  </si>
  <si>
    <t>Ohms</t>
  </si>
  <si>
    <t>PSI DROP</t>
  </si>
  <si>
    <t>PSI</t>
  </si>
  <si>
    <t>Measured Coil ΔP</t>
  </si>
  <si>
    <t>GPM/Cv =</t>
  </si>
  <si>
    <t>Cv Required</t>
  </si>
  <si>
    <t>Adj ΔP----------&gt;</t>
  </si>
  <si>
    <t>Cv REQUIRED</t>
  </si>
  <si>
    <t>Design Coil ΔP</t>
  </si>
  <si>
    <t>Convert Watts to Volts</t>
  </si>
  <si>
    <t xml:space="preserve">Valve Authority </t>
  </si>
  <si>
    <t>Kv</t>
  </si>
  <si>
    <t>Actual GPM</t>
  </si>
  <si>
    <r>
      <t xml:space="preserve">Valve </t>
    </r>
    <r>
      <rPr>
        <sz val="8"/>
        <rFont val="Calibri"/>
        <family val="2"/>
      </rPr>
      <t>ΔP</t>
    </r>
  </si>
  <si>
    <t>Watts</t>
  </si>
  <si>
    <t>= Cv</t>
  </si>
  <si>
    <r>
      <t xml:space="preserve">Branch </t>
    </r>
    <r>
      <rPr>
        <sz val="8"/>
        <rFont val="Calibri"/>
        <family val="2"/>
      </rPr>
      <t>ΔP / Coil</t>
    </r>
  </si>
  <si>
    <t>Design</t>
  </si>
  <si>
    <t>Valve Authority</t>
  </si>
  <si>
    <t>GPM = K x Sq Root of the DeltaP</t>
  </si>
  <si>
    <t>K or Cv</t>
  </si>
  <si>
    <r>
      <t xml:space="preserve">PSI </t>
    </r>
    <r>
      <rPr>
        <b/>
        <sz val="8"/>
        <rFont val="Calibri"/>
        <family val="2"/>
      </rPr>
      <t>Δ</t>
    </r>
    <r>
      <rPr>
        <b/>
        <sz val="8"/>
        <rFont val="Arial"/>
        <family val="2"/>
      </rPr>
      <t>P</t>
    </r>
  </si>
  <si>
    <r>
      <t xml:space="preserve">Branch </t>
    </r>
    <r>
      <rPr>
        <sz val="8"/>
        <rFont val="Calibri"/>
        <family val="2"/>
      </rPr>
      <t>ΔP</t>
    </r>
  </si>
  <si>
    <t>Convert Watts to Amps</t>
  </si>
  <si>
    <t>DeltaP</t>
  </si>
  <si>
    <t>Design Head</t>
  </si>
  <si>
    <t>P1</t>
  </si>
  <si>
    <t>P2</t>
  </si>
  <si>
    <r>
      <rPr>
        <b/>
        <sz val="8"/>
        <rFont val="Calibri"/>
        <family val="2"/>
      </rPr>
      <t>Δ</t>
    </r>
    <r>
      <rPr>
        <b/>
        <sz val="8"/>
        <rFont val="Arial"/>
        <family val="2"/>
      </rPr>
      <t>P</t>
    </r>
  </si>
  <si>
    <t>Adj Valve Authority</t>
  </si>
  <si>
    <t>0.50 &amp; Greater is good</t>
  </si>
  <si>
    <t>New Flow</t>
  </si>
  <si>
    <t>New DP</t>
  </si>
  <si>
    <t>Valve Cv</t>
  </si>
  <si>
    <t>CvC Calculator</t>
  </si>
  <si>
    <t>Convert Amps to Watts</t>
  </si>
  <si>
    <t>Valve Flow Rated based on DeltaP</t>
  </si>
  <si>
    <t xml:space="preserve"> ΔP</t>
  </si>
  <si>
    <t>Pipe Size</t>
  </si>
  <si>
    <t>Fp=</t>
  </si>
  <si>
    <t>Cvc=</t>
  </si>
  <si>
    <t>Pump Horse Power</t>
  </si>
  <si>
    <t>By-Pass Valve Sizer</t>
  </si>
  <si>
    <t>Fluid Velocity in FPS based on Flow Rate</t>
  </si>
  <si>
    <t>Total GPM</t>
  </si>
  <si>
    <t>Total Head</t>
  </si>
  <si>
    <t>Feet of Head</t>
  </si>
  <si>
    <t>HP</t>
  </si>
  <si>
    <t>In PSI</t>
  </si>
  <si>
    <t xml:space="preserve">Cv = </t>
  </si>
  <si>
    <t>Fluid Velocity Calculator</t>
  </si>
  <si>
    <t>BTU Calculators</t>
  </si>
  <si>
    <t>Pump HP to Flow Rate</t>
  </si>
  <si>
    <t>Flow Rate</t>
  </si>
  <si>
    <t xml:space="preserve">BTU = </t>
  </si>
  <si>
    <t xml:space="preserve">GPM * 500 </t>
  </si>
  <si>
    <t>* ΔT</t>
  </si>
  <si>
    <t>Inches</t>
  </si>
  <si>
    <t>HP of Pump</t>
  </si>
  <si>
    <t>Velocity</t>
  </si>
  <si>
    <t>Feet/Sec</t>
  </si>
  <si>
    <t xml:space="preserve">GPM  = </t>
  </si>
  <si>
    <t>BTU /</t>
  </si>
  <si>
    <t>500 * ΔT</t>
  </si>
  <si>
    <t>NOTE:</t>
  </si>
  <si>
    <t xml:space="preserve"> ΔT =</t>
  </si>
  <si>
    <t xml:space="preserve">BTU / </t>
  </si>
  <si>
    <t>GPM * 500</t>
  </si>
  <si>
    <t>GPM to Pipe Size</t>
  </si>
  <si>
    <t>THIS IS TO BE USED FOR DETERMINING FLUID VELOCITY FOR RESILIENT SEATED BF VALVES</t>
  </si>
  <si>
    <t>(C200/225 SERIES) THROUGH STANDARD SCHEDULE 40 BLACK IRON PIPE.</t>
  </si>
  <si>
    <t>Size"</t>
  </si>
  <si>
    <t>TO PROPERLY SIZE A RESILIENT SEATED BF VALVE: (F6, F7, FR, S, -150, -300)</t>
  </si>
  <si>
    <t>1) ENTER GPM</t>
  </si>
  <si>
    <t>2) MODIFY VALVE SIZE UP OR DOWN TO MAKE VELOCITY JUST LESS THAN 12 FPS or 20 FPS for VIC</t>
  </si>
  <si>
    <t>3) DO NOT EXCEED 12 FPS.</t>
  </si>
  <si>
    <t>4) DIVIDE GPM BY VALVE SIZE Cv @ 90 DEGREES FOR 2 POSITION CONTROL TO FIND MAX DELTA P.</t>
  </si>
  <si>
    <t>5) DIVIDE GPM BY VALVE SIZE Cv @ 60 DEGREES FOR MODULATING CONTROL TO FIND MAX DELTA P.</t>
  </si>
  <si>
    <t>TO PROPERLY SIZE A HIGH PERFORMANCE BF VALVE: (-150SHP, -300SHP)</t>
  </si>
  <si>
    <t>2) MODIFY VALVE SIZE UP OR DOWN TO MAKE VELOCITY JUST LESS THAN 30 FPS.</t>
  </si>
  <si>
    <t>3) DO NOT EXCEED 30 FPS.</t>
  </si>
  <si>
    <t>* NOTE: WATCH DELTA P ON TWO POSITION APPS TO PREVENT MINIMUM FLOW SAFETY TRIPS ON CHILLERS.</t>
  </si>
  <si>
    <t>KG/h</t>
  </si>
  <si>
    <t>Average Barometric Pressure (bara)</t>
  </si>
  <si>
    <t>BAR</t>
  </si>
  <si>
    <t>CoeffType</t>
  </si>
  <si>
    <t>Cv (US)</t>
  </si>
  <si>
    <t>Kv (m³/h)</t>
  </si>
  <si>
    <t>psi</t>
  </si>
  <si>
    <t>psia</t>
  </si>
  <si>
    <t>%</t>
  </si>
  <si>
    <t>Corrected Pressure Drop</t>
  </si>
  <si>
    <t>Flow Regime</t>
  </si>
  <si>
    <t>Inlet Absolute Pressure (P1_abs)</t>
  </si>
  <si>
    <t>Corrected Flow Output</t>
  </si>
  <si>
    <t>Flow Coefficient Result [Cv]</t>
  </si>
  <si>
    <t>Corrected Drop Ratio (ΔP_corr/P1)</t>
  </si>
  <si>
    <t>lb/hr</t>
  </si>
  <si>
    <t>Belimo Steam Valve Sizing Tool</t>
  </si>
  <si>
    <t>A P P L I C A T I O N   D A T A</t>
  </si>
  <si>
    <t>S T E A M   D A T A</t>
  </si>
  <si>
    <t>C v   C A L C U L A T O R   R E S U L T S</t>
  </si>
  <si>
    <t>F E E D B A C K</t>
  </si>
  <si>
    <t>R E L E A S E   I N F O R M A T I O N</t>
  </si>
  <si>
    <t>Release Version</t>
  </si>
  <si>
    <t>Release Date</t>
  </si>
  <si>
    <t>Update Mode</t>
  </si>
  <si>
    <t>⅓  - ⅔   V A L V E   C A L C U L A T O R</t>
  </si>
  <si>
    <r>
      <t xml:space="preserve">FLOWRATE  </t>
    </r>
    <r>
      <rPr>
        <b/>
        <sz val="10"/>
        <rFont val="Arial"/>
        <family val="2"/>
      </rPr>
      <t>[Q]</t>
    </r>
  </si>
  <si>
    <t>Required [Cv]</t>
  </si>
  <si>
    <t>The Tool Box</t>
  </si>
  <si>
    <t>Corrected Outlet Abs Pressure (P2_corr_abs)</t>
  </si>
  <si>
    <t>Selected Valve Input [Cv]</t>
  </si>
  <si>
    <t>Difference [Cv]</t>
  </si>
  <si>
    <t>Steam Valve Outlet Velocity Check</t>
  </si>
  <si>
    <t>Valve Type [Select]</t>
  </si>
  <si>
    <t>Specific Volume Out (ft3/lb)</t>
  </si>
  <si>
    <t>Steam Classification</t>
  </si>
  <si>
    <t>Quality (x)</t>
  </si>
  <si>
    <t>Speed of Sound (ft/s)</t>
  </si>
  <si>
    <t>Selected Valve Result</t>
  </si>
  <si>
    <t>Valve (Part#, Size, Type, Cv)</t>
  </si>
  <si>
    <t>Port Area (in2)</t>
  </si>
  <si>
    <t>Area Source</t>
  </si>
  <si>
    <t>Velocity (ft/s)</t>
  </si>
  <si>
    <t>Velocity (m/s)</t>
  </si>
  <si>
    <t>Mach No.</t>
  </si>
  <si>
    <t>Applicable Limit</t>
  </si>
  <si>
    <t>Pass/Fail</t>
  </si>
  <si>
    <t>Catalog Scan (filtered by selected Valve Type)</t>
  </si>
  <si>
    <t>Part#</t>
  </si>
  <si>
    <t>Size (in)</t>
  </si>
  <si>
    <t>Pass</t>
  </si>
  <si>
    <t>Min Pipe Size (SteamPipeSize table) @ 50 / 80 / 120 ft/s</t>
  </si>
  <si>
    <t>Apply Pipe-Size Floor</t>
  </si>
  <si>
    <t>Steam Quality Override (blank = auto-classify from entropy)</t>
  </si>
  <si>
    <t>Dry Saturated</t>
  </si>
  <si>
    <t>2.5-in</t>
  </si>
  <si>
    <t>Supply Pipe Size (in)</t>
  </si>
  <si>
    <t>Outlet Pipe Size (in)</t>
  </si>
  <si>
    <t>Steam Flow</t>
  </si>
  <si>
    <t>P1 Inlet Abs</t>
  </si>
  <si>
    <t>P2 Corrected Abs</t>
  </si>
  <si>
    <t>Recommendation:</t>
  </si>
  <si>
    <t>Line Fit</t>
  </si>
  <si>
    <t>Fail</t>
  </si>
  <si>
    <t>OK</t>
  </si>
  <si>
    <t>Seat/Port Area (sq-in)</t>
  </si>
  <si>
    <t xml:space="preserve">Cv 1/3rd - 2/3rd:  </t>
  </si>
  <si>
    <t>Flow Unit</t>
  </si>
  <si>
    <t>PI Unit</t>
  </si>
  <si>
    <t>PO Unit</t>
  </si>
  <si>
    <t>Pressure Drop [dP]</t>
  </si>
  <si>
    <t>Barometric Ref</t>
  </si>
  <si>
    <t>Result [Req Cv]</t>
  </si>
  <si>
    <t>Coeff Type</t>
  </si>
  <si>
    <t>Actuator</t>
  </si>
  <si>
    <t>Steam Condition</t>
  </si>
  <si>
    <t>Outlet Velocity [m/s]</t>
  </si>
  <si>
    <t>Velocity Check</t>
  </si>
  <si>
    <t>Valve Size [in]</t>
  </si>
  <si>
    <t>Valve Type</t>
  </si>
  <si>
    <t>Steam Type</t>
  </si>
  <si>
    <t>Supply Pipe Size</t>
  </si>
  <si>
    <t>inch</t>
  </si>
  <si>
    <t>Outlet Pipe Size</t>
  </si>
  <si>
    <t>Selected Valve</t>
  </si>
  <si>
    <t>Result:</t>
  </si>
  <si>
    <t>Manual / Other</t>
  </si>
  <si>
    <t>Alberta</t>
  </si>
  <si>
    <t>British Columbia</t>
  </si>
  <si>
    <t>Manitoba</t>
  </si>
  <si>
    <t>New Brunswick</t>
  </si>
  <si>
    <t>Newfoundland and Labrador</t>
  </si>
  <si>
    <t>Northwest Territories</t>
  </si>
  <si>
    <t>Nova Scotia</t>
  </si>
  <si>
    <t>Nunavut</t>
  </si>
  <si>
    <t>Ontario</t>
  </si>
  <si>
    <t>Prince Edward Island</t>
  </si>
  <si>
    <t>Quebec</t>
  </si>
  <si>
    <t>Saskatchewan</t>
  </si>
  <si>
    <t>Yukon</t>
  </si>
  <si>
    <t>Bogota, Colombia</t>
  </si>
  <si>
    <t>Buenos Aires, Argentina</t>
  </si>
  <si>
    <t>Cancun, Mexico</t>
  </si>
  <si>
    <t>Guadalajara, Mexico</t>
  </si>
  <si>
    <t>Lima, Peru</t>
  </si>
  <si>
    <t>Mexico City, Mexico</t>
  </si>
  <si>
    <t>Monterrey, Mexico</t>
  </si>
  <si>
    <t>Santiago, Chile</t>
  </si>
  <si>
    <t>Sao Paulo, Brazil</t>
  </si>
  <si>
    <t>International entries (Canada / Mexico / Latin America): estimated from published city or province elevations using the U.S. Standard Atmosphere pressure-altitude formula, not the NCEI station-average source above. For any location not listed, select 'Manual / Other' and enter the local barometric pressure directly in AP [C15].</t>
  </si>
  <si>
    <t>1/3rd</t>
  </si>
  <si>
    <t>2/3rd</t>
  </si>
  <si>
    <t>Date</t>
  </si>
  <si>
    <t>Bug                 Enhance</t>
  </si>
  <si>
    <t>Version From</t>
  </si>
  <si>
    <t>Version To</t>
  </si>
  <si>
    <t>Tab</t>
  </si>
  <si>
    <t>Update</t>
  </si>
  <si>
    <t>Date Fixed</t>
  </si>
  <si>
    <t>By</t>
  </si>
  <si>
    <t>Notes</t>
  </si>
  <si>
    <t>Modual</t>
  </si>
  <si>
    <t>Internal / Release</t>
  </si>
  <si>
    <t>3-in</t>
  </si>
  <si>
    <t>79.70 psia</t>
  </si>
  <si>
    <t>Dry saturated (Spirax Sarco): 150 m/s outlet-port guideline (noise onset)</t>
  </si>
  <si>
    <t>Recommended</t>
  </si>
  <si>
    <t>OK (&lt;= 2-in)</t>
  </si>
  <si>
    <t>4-in</t>
  </si>
  <si>
    <t>Measured (Ball Area)</t>
  </si>
  <si>
    <t>Exceeds 2-in line</t>
  </si>
  <si>
    <t>2493.4 lb/hr</t>
  </si>
  <si>
    <t>75.77 psia</t>
  </si>
  <si>
    <t>B2100VB-024 (1-in, V-Ball, Cv=24.0)</t>
  </si>
  <si>
    <t>RECOMMENDED: B2150VB-055 (1.5-in, Cv=55.0)  91.7 m/s, Mach 0.185 -&gt; Pass_x000D_
Inlet pipe (2-in Sch 40): 163.3 ft/s (49.8 m/s) - CAUTION (above 40 m/s practical limit; up to 76 m/s may be acceptable for short, insulated, dry runs per some standards)_x000D_
Outlet pipe (2-in Sch 40): 171.2 ft/s (52.2 m/s) - CAUTION (above 40 m/s practical limit; up to 76 m/s may be acceptable for short, insulated, dry runs per some standards)</t>
  </si>
  <si>
    <t>Generated on July 08, 2026, 02:12 PM</t>
  </si>
  <si>
    <t>NPS (in)</t>
  </si>
  <si>
    <t>OD (in)</t>
  </si>
  <si>
    <t>Sch 40 Wall (in)</t>
  </si>
  <si>
    <t>Sch 80 Wall (in)</t>
  </si>
  <si>
    <t>Source: ASME B36.10 pipe dimensions. ID = OD - 2*Wall (computed in VBA, not stored).</t>
  </si>
  <si>
    <t>Generic Noise-Prediction Defaults (placeholder until Belimo-specific values available)</t>
  </si>
  <si>
    <t>FL (liquid pressure recovery factor)</t>
  </si>
  <si>
    <t>Generic globe valve, contoured plug, open (IEC 60534-2-1 Table 2)</t>
  </si>
  <si>
    <t>Fd (valve style modifier)</t>
  </si>
  <si>
    <t>Generic globe valve, contoured plug, linear/eq-%, open (IEC 60534-2-1 Table 2)</t>
  </si>
  <si>
    <t>-Select-</t>
  </si>
  <si>
    <t>Valve Velocity</t>
  </si>
  <si>
    <t>Inlet Pipe Size</t>
  </si>
  <si>
    <t>Inlet Pipe Velocity</t>
  </si>
  <si>
    <t>Outlet Pipe Velocity</t>
  </si>
  <si>
    <t>LB/HR 1/3rd - 2/3rd:</t>
  </si>
  <si>
    <t>Valve Travel %</t>
  </si>
  <si>
    <t xml:space="preserve">S U G G E S T E D   V A L V E   &amp;  P I P E   S I Z E </t>
  </si>
  <si>
    <t>Calculated Valve Noise (dB)</t>
  </si>
  <si>
    <t>P I P E   &amp;   V A L V E   V E L O C I T Y  C H E C  K</t>
  </si>
  <si>
    <t>Target Velocity (ft/s)</t>
  </si>
  <si>
    <t>Valve Size &amp; Cv</t>
  </si>
  <si>
    <t>N/A</t>
  </si>
  <si>
    <t>Generic Valve Characteristic Defaults (placeholder until Belimo-specific values available)</t>
  </si>
  <si>
    <t>Curve Type</t>
  </si>
  <si>
    <t>Equal %</t>
  </si>
  <si>
    <t>Generic assumption for steam coil/heat-exchanger control valve service</t>
  </si>
  <si>
    <t>Rangeability (R)</t>
  </si>
  <si>
    <t>Typical published rangeability for equal-% globe control valve trim</t>
  </si>
  <si>
    <t>Rangeability</t>
  </si>
  <si>
    <t>T U R N D O W N   A N A L Y S I S   ( E F F E C T I V E   R A N G E A B I L I T Y )</t>
  </si>
  <si>
    <t>Suggested Valve (from Calculator):</t>
  </si>
  <si>
    <t>Curve Type:</t>
  </si>
  <si>
    <t>Rated Rangeability (R):</t>
  </si>
  <si>
    <t>Required Cv (design duty):</t>
  </si>
  <si>
    <t>Installed Valve Cv:</t>
  </si>
  <si>
    <t>Oversizing Factor (installed / required):</t>
  </si>
  <si>
    <t>Flow Basis (corrected, lb/hr):</t>
  </si>
  <si>
    <t>Required System Turndown (design / min):</t>
  </si>
  <si>
    <t>Effective Rangeability (R / Oversizing):</t>
  </si>
  <si>
    <t>Minimum / Turndown Flow (lb/hr):</t>
  </si>
  <si>
    <t>Suggested Split Valves:</t>
  </si>
  <si>
    <t>Small Valve (Low-Load, 1/3):</t>
  </si>
  <si>
    <t>Large Valve (Peak, 2/3):</t>
  </si>
  <si>
    <t>Valve Selection</t>
  </si>
  <si>
    <t>View ( Simple -or-  Detailed)</t>
  </si>
  <si>
    <t>Simple</t>
  </si>
  <si>
    <t>Equal % (generic default - not yet catalogued for this valve)</t>
  </si>
  <si>
    <t>50:1 (generic default - not yet catalogued for this valve)</t>
  </si>
  <si>
    <t>Enter the Minimum/Turndown Flow above to evaluate the split-range (1/3 - 2/3) requirement.</t>
  </si>
  <si>
    <t>Cv = Q / (3.28 * SQRT(dP * P2_abs))_x000D_
   = 1200. / (3.28 * SQRT(7. * 19.7)) = 31.155</t>
  </si>
  <si>
    <t>G665 (2.5-in) - Cv 65.0</t>
  </si>
  <si>
    <t>2.09:1</t>
  </si>
  <si>
    <t>1,540.7 lb/hr</t>
  </si>
  <si>
    <t>G225S-K (1-in) - Cv 10.0 (target 10.38)</t>
  </si>
  <si>
    <t>G232S-M (1.25-in) - Cv 20.0 (target 20.77)</t>
  </si>
  <si>
    <t>24.0:1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</si>
</sst>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71" x14ac:knownFonts="1">
    <font>
      <sz val="10"/>
      <name val="Arial"/>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sz val="11"/>
      <color rgb="FF000000"/>
      <name val="Calibri"/>
      <family val="2"/>
      <charset val="204"/>
    </font>
    <font>
      <b/>
      <sz val="10"/>
      <color rgb="FF0000FF"/>
      <name val="Arial"/>
      <family val="2"/>
    </font>
    <font>
      <b/>
      <i/>
      <sz val="10"/>
      <name val="Arial"/>
      <family val="2"/>
    </font>
    <font>
      <b/>
      <u/>
      <sz val="10"/>
      <name val="Arial"/>
      <family val="2"/>
    </font>
    <font>
      <b/>
      <sz val="10"/>
      <color theme="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color theme="1"/>
      <name val="Aptos Narrow"/>
      <family val="2"/>
    </font>
    <font>
      <sz val="11"/>
      <color indexed="8"/>
      <name val="Aptos Narrow"/>
      <family val="2"/>
    </font>
    <font>
      <sz val="11"/>
      <name val="Aptos Narrow"/>
      <family val="2"/>
    </font>
    <font>
      <b/>
      <sz val="10"/>
      <color rgb="FF228B22"/>
      <name val="Arial"/>
      <family val="2"/>
    </font>
    <font>
      <sz val="10"/>
      <color theme="0"/>
      <name val="Arial"/>
      <family val="2"/>
    </font>
    <font>
      <b/>
      <sz val="8"/>
      <color rgb="FFFFFFFF"/>
      <name val="Arial"/>
      <family val="2"/>
    </font>
    <font>
      <b/>
      <sz val="8"/>
      <name val="Arial"/>
      <family val="2"/>
    </font>
    <font>
      <b/>
      <u/>
      <sz val="8"/>
      <color rgb="FFFFFFFF"/>
      <name val="Arial"/>
      <family val="2"/>
    </font>
    <font>
      <b/>
      <i/>
      <sz val="8"/>
      <name val="Arial"/>
      <family val="2"/>
    </font>
    <font>
      <sz val="8"/>
      <name val="Calibri"/>
      <family val="2"/>
    </font>
    <font>
      <b/>
      <sz val="8"/>
      <name val="Calibri"/>
      <family val="2"/>
    </font>
    <font>
      <b/>
      <u/>
      <sz val="10"/>
      <color rgb="FFFFFFFF"/>
      <name val="Arial"/>
      <family val="2"/>
    </font>
    <font>
      <sz val="8"/>
      <color indexed="12"/>
      <name val="Arial"/>
      <family val="2"/>
    </font>
    <font>
      <sz val="8"/>
      <color rgb="FF002060"/>
      <name val="Arial"/>
      <family val="2"/>
    </font>
    <font>
      <b/>
      <sz val="10"/>
      <color rgb="FFFFFFFF"/>
      <name val="Arial"/>
      <family val="2"/>
    </font>
    <font>
      <b/>
      <u/>
      <sz val="8"/>
      <name val="Arial"/>
      <family val="2"/>
    </font>
    <font>
      <b/>
      <sz val="9"/>
      <name val="Arial"/>
      <family val="2"/>
    </font>
    <font>
      <b/>
      <i/>
      <sz val="10"/>
      <color indexed="12"/>
      <name val="Arial"/>
      <family val="2"/>
    </font>
    <font>
      <b/>
      <sz val="10"/>
      <color indexed="10"/>
      <name val="Arial"/>
      <family val="2"/>
    </font>
    <font>
      <b/>
      <sz val="9"/>
      <color indexed="81"/>
      <name val="Tahoma"/>
      <family val="2"/>
    </font>
    <font>
      <sz val="9"/>
      <color indexed="81"/>
      <name val="Tahoma"/>
      <family val="2"/>
    </font>
    <font>
      <b/>
      <sz val="8"/>
      <color indexed="81"/>
      <name val="Tahoma"/>
      <family val="2"/>
    </font>
    <font>
      <b/>
      <sz val="10"/>
      <color rgb="FFFF0000"/>
      <name val="Arial"/>
      <family val="2"/>
    </font>
    <font>
      <sz val="28"/>
      <color rgb="FFFF6600"/>
      <name val="Arial"/>
      <family val="2"/>
    </font>
    <font>
      <sz val="16"/>
      <color rgb="FFFF6600"/>
      <name val="Calibri Light"/>
      <family val="2"/>
    </font>
    <font>
      <sz val="10"/>
      <color rgb="FF0000FF"/>
      <name val="Arial"/>
      <family val="2"/>
    </font>
    <font>
      <b/>
      <sz val="10"/>
      <color indexed="8"/>
      <name val="Arial"/>
      <family val="2"/>
    </font>
    <font>
      <sz val="10"/>
      <color rgb="FF00FF00"/>
      <name val="Arial"/>
      <family val="2"/>
    </font>
    <font>
      <sz val="10"/>
      <color rgb="FF228B22"/>
      <name val="Arial"/>
      <family val="2"/>
    </font>
    <font>
      <sz val="10"/>
      <color rgb="FFFF6600"/>
      <name val="Arial"/>
      <family val="2"/>
    </font>
    <font>
      <b/>
      <sz val="10"/>
      <color rgb="FF115AC5"/>
      <name val="Arial"/>
      <family val="2"/>
    </font>
    <font>
      <b/>
      <sz val="11"/>
      <color rgb="FF000000"/>
      <name val="Calibri"/>
      <family val="2"/>
    </font>
    <font>
      <b/>
      <u/>
      <sz val="11"/>
      <color theme="1"/>
      <name val="Aptos Narrow"/>
      <family val="2"/>
      <scheme val="minor"/>
    </font>
    <font>
      <sz val="14"/>
      <color rgb="FFFF6600"/>
      <name val="Calibri Light"/>
      <family val="2"/>
    </font>
    <font>
      <b/>
      <sz val="10"/>
      <color rgb="FF000000"/>
      <name val="Arial"/>
      <family val="2"/>
    </font>
    <font>
      <sz val="10"/>
      <color rgb="FFFF0000"/>
      <name val="Arial"/>
      <family val="2"/>
    </font>
    <font>
      <sz val="10"/>
      <color rgb="FFF2F2F2"/>
      <name val="Arial"/>
      <family val="2"/>
    </font>
    <font>
      <sz val="10"/>
      <color rgb="FFE8E8E8"/>
      <name val="Arial"/>
      <family val="2"/>
    </font>
  </fonts>
  <fills count="22">
    <fill>
      <patternFill patternType="none"/>
    </fill>
    <fill>
      <patternFill patternType="gray125"/>
    </fill>
    <fill>
      <patternFill patternType="solid">
        <fgColor indexed="22"/>
        <bgColor indexed="22"/>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indexed="13"/>
        <bgColor indexed="64"/>
      </patternFill>
    </fill>
    <fill>
      <patternFill patternType="solid">
        <fgColor indexed="11"/>
        <bgColor indexed="64"/>
      </patternFill>
    </fill>
    <fill>
      <patternFill patternType="solid">
        <fgColor rgb="FFE7E7E7"/>
        <bgColor indexed="64"/>
      </patternFill>
    </fill>
    <fill>
      <patternFill patternType="solid">
        <fgColor rgb="FFE2EFDA"/>
        <bgColor indexed="64"/>
      </patternFill>
    </fill>
    <fill>
      <patternFill patternType="solid">
        <fgColor rgb="FFBFCDDB"/>
        <bgColor indexed="64"/>
      </patternFill>
    </fill>
    <fill>
      <patternFill patternType="solid">
        <fgColor rgb="FFDCDCDC"/>
        <bgColor indexed="64"/>
      </patternFill>
    </fill>
    <fill>
      <patternFill patternType="solid">
        <fgColor rgb="FFC6EFCE"/>
        <bgColor indexed="64"/>
      </patternFill>
    </fill>
    <fill>
      <patternFill patternType="solid">
        <fgColor rgb="FFFFC7CE"/>
        <bgColor indexed="64"/>
      </patternFill>
    </fill>
    <fill>
      <patternFill patternType="solid">
        <fgColor rgb="FFF2F2F2"/>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auto="1"/>
      </right>
      <top style="thin">
        <color indexed="64"/>
      </top>
      <bottom style="thin">
        <color indexed="64"/>
      </bottom>
      <diagonal/>
    </border>
    <border>
      <left/>
      <right/>
      <top/>
      <bottom style="thin">
        <color rgb="FFC4C4C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left>
      <right/>
      <top style="thin">
        <color theme="0" tint="-0.14996795556505021"/>
      </top>
      <bottom/>
      <diagonal/>
    </border>
    <border>
      <left style="thin">
        <color theme="0"/>
      </left>
      <right style="thin">
        <color theme="0"/>
      </right>
      <top style="thin">
        <color theme="0"/>
      </top>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rgb="FFC4C4C4"/>
      </top>
      <bottom/>
      <diagonal/>
    </border>
    <border>
      <left/>
      <right/>
      <top/>
      <bottom style="thin">
        <color theme="0" tint="-0.14996795556505021"/>
      </bottom>
      <diagonal/>
    </border>
    <border>
      <left/>
      <right/>
      <top/>
      <bottom style="thin">
        <color theme="0" tint="-0.14990691854609822"/>
      </bottom>
      <diagonal/>
    </border>
    <border>
      <left style="thin">
        <color indexed="64"/>
      </left>
      <right/>
      <top/>
      <bottom style="thin">
        <color theme="0"/>
      </bottom>
      <diagonal/>
    </border>
    <border>
      <left/>
      <right/>
      <top/>
      <bottom style="thin">
        <color theme="0"/>
      </bottom>
      <diagonal/>
    </border>
    <border>
      <left/>
      <right/>
      <top style="thin">
        <color theme="0"/>
      </top>
      <bottom/>
      <diagonal/>
    </border>
  </borders>
  <cellStyleXfs count="9">
    <xf numFmtId="0" fontId="0" fillId="0" borderId="0"/>
    <xf numFmtId="0" fontId="11" fillId="0" borderId="0" applyNumberFormat="0" applyFill="0" applyBorder="0" applyAlignment="0" applyProtection="0">
      <alignment vertical="top"/>
      <protection locked="0"/>
    </xf>
    <xf numFmtId="0" fontId="13" fillId="0" borderId="0"/>
    <xf numFmtId="0" fontId="2" fillId="0" borderId="0"/>
    <xf numFmtId="0" fontId="18" fillId="0" borderId="0" applyNumberFormat="0" applyFill="0" applyBorder="0" applyAlignment="0" applyProtection="0">
      <alignment vertical="top"/>
      <protection locked="0"/>
    </xf>
    <xf numFmtId="0" fontId="21" fillId="0" borderId="0"/>
    <xf numFmtId="0" fontId="4" fillId="0" borderId="0"/>
    <xf numFmtId="0" fontId="1" fillId="0" borderId="0"/>
    <xf numFmtId="0" fontId="59" fillId="15" borderId="62" applyNumberFormat="0" applyFont="0" applyBorder="0" applyAlignment="0" applyProtection="0">
      <alignment horizontal="left"/>
      <protection locked="0"/>
    </xf>
  </cellStyleXfs>
  <cellXfs count="517">
    <xf numFmtId="0" fontId="0" fillId="0" borderId="0" xfId="0"/>
    <xf numFmtId="0" fontId="0" fillId="0" borderId="0" xfId="0" applyAlignment="1">
      <alignment vertical="center"/>
    </xf>
    <xf numFmtId="0" fontId="0" fillId="0" borderId="0" xfId="0" applyAlignment="1">
      <alignment vertical="center" wrapText="1"/>
    </xf>
    <xf numFmtId="173" fontId="3" fillId="0" borderId="17" xfId="0" applyNumberFormat="1" applyFont="1" applyBorder="1" applyAlignment="1">
      <alignment horizontal="centerContinuous" vertical="center" wrapText="1"/>
    </xf>
    <xf numFmtId="173" fontId="3" fillId="0" borderId="17" xfId="0" applyNumberFormat="1" applyFont="1" applyBorder="1" applyAlignment="1">
      <alignment horizontal="center" vertical="center" wrapText="1"/>
    </xf>
    <xf numFmtId="173" fontId="0" fillId="0" borderId="18" xfId="0" applyNumberFormat="1" applyBorder="1" applyAlignment="1">
      <alignment horizontal="centerContinuous" vertical="center" wrapText="1"/>
    </xf>
    <xf numFmtId="173" fontId="3" fillId="0" borderId="18" xfId="0" applyNumberFormat="1" applyFont="1" applyBorder="1" applyAlignment="1">
      <alignment horizontal="centerContinuous" vertical="center" wrapText="1"/>
    </xf>
    <xf numFmtId="175" fontId="3" fillId="0" borderId="17" xfId="0" applyNumberFormat="1" applyFont="1" applyBorder="1" applyAlignment="1">
      <alignment horizontal="centerContinuous" vertical="center" wrapText="1"/>
    </xf>
    <xf numFmtId="169" fontId="3" fillId="0" borderId="18" xfId="0" applyNumberFormat="1" applyFont="1" applyBorder="1" applyAlignment="1">
      <alignment horizontal="centerContinuous" vertical="center" wrapText="1"/>
    </xf>
    <xf numFmtId="174" fontId="3" fillId="2" borderId="19" xfId="0" applyNumberFormat="1" applyFont="1" applyFill="1" applyBorder="1" applyAlignment="1">
      <alignment horizontal="left" vertical="center" wrapText="1"/>
    </xf>
    <xf numFmtId="176" fontId="3" fillId="0" borderId="20" xfId="0" applyNumberFormat="1" applyFont="1" applyBorder="1" applyAlignment="1">
      <alignment horizontal="centerContinuous" vertical="center" wrapText="1"/>
    </xf>
    <xf numFmtId="173" fontId="12" fillId="0" borderId="8" xfId="0" applyNumberFormat="1" applyFont="1" applyBorder="1" applyAlignment="1">
      <alignment horizontal="center" vertical="center"/>
    </xf>
    <xf numFmtId="173" fontId="12" fillId="0" borderId="21" xfId="0" applyNumberFormat="1" applyFont="1" applyBorder="1" applyAlignment="1">
      <alignment horizontal="center" vertical="center"/>
    </xf>
    <xf numFmtId="173" fontId="12" fillId="0" borderId="22" xfId="0" applyNumberFormat="1" applyFont="1" applyBorder="1" applyAlignment="1">
      <alignment horizontal="center" vertical="center"/>
    </xf>
    <xf numFmtId="175" fontId="12" fillId="0" borderId="21" xfId="0" applyNumberFormat="1" applyFont="1" applyBorder="1" applyAlignment="1">
      <alignment horizontal="center" vertical="center"/>
    </xf>
    <xf numFmtId="169" fontId="12" fillId="0" borderId="22" xfId="0" applyNumberFormat="1" applyFont="1" applyBorder="1" applyAlignment="1">
      <alignment horizontal="center" vertical="center"/>
    </xf>
    <xf numFmtId="174" fontId="12" fillId="2" borderId="9" xfId="0" applyNumberFormat="1" applyFont="1" applyFill="1" applyBorder="1" applyAlignment="1">
      <alignment horizontal="center" vertical="center"/>
    </xf>
    <xf numFmtId="173" fontId="12" fillId="0" borderId="6" xfId="0" applyNumberFormat="1" applyFont="1" applyBorder="1" applyAlignment="1">
      <alignment horizontal="center" vertical="center"/>
    </xf>
    <xf numFmtId="176" fontId="12" fillId="0" borderId="14" xfId="0" applyNumberFormat="1" applyFont="1" applyBorder="1" applyAlignment="1">
      <alignment horizontal="center" vertical="center"/>
    </xf>
    <xf numFmtId="179" fontId="0" fillId="0" borderId="13" xfId="0" applyNumberFormat="1" applyBorder="1" applyAlignment="1">
      <alignment vertical="center"/>
    </xf>
    <xf numFmtId="177" fontId="0" fillId="0" borderId="13" xfId="0" applyNumberFormat="1" applyBorder="1" applyAlignment="1">
      <alignment vertical="center"/>
    </xf>
    <xf numFmtId="177" fontId="0" fillId="0" borderId="11" xfId="0" applyNumberFormat="1" applyBorder="1" applyAlignment="1">
      <alignment vertical="center"/>
    </xf>
    <xf numFmtId="175" fontId="0" fillId="0" borderId="13" xfId="0" applyNumberFormat="1" applyBorder="1" applyAlignment="1">
      <alignment vertical="center"/>
    </xf>
    <xf numFmtId="169" fontId="0" fillId="0" borderId="11" xfId="0" applyNumberFormat="1" applyBorder="1" applyAlignment="1">
      <alignment vertical="center"/>
    </xf>
    <xf numFmtId="171" fontId="0" fillId="2" borderId="9" xfId="0" applyNumberFormat="1" applyFill="1" applyBorder="1" applyAlignment="1">
      <alignment horizontal="right" vertical="center"/>
    </xf>
    <xf numFmtId="178" fontId="0" fillId="0" borderId="12" xfId="0" applyNumberFormat="1" applyBorder="1" applyAlignment="1">
      <alignment horizontal="right" vertical="center"/>
    </xf>
    <xf numFmtId="179" fontId="0" fillId="0" borderId="13" xfId="0" applyNumberFormat="1" applyBorder="1" applyAlignment="1">
      <alignment horizontal="right" vertical="center"/>
    </xf>
    <xf numFmtId="177" fontId="0" fillId="0" borderId="13" xfId="0" applyNumberFormat="1" applyBorder="1" applyAlignment="1">
      <alignment horizontal="right" vertical="center"/>
    </xf>
    <xf numFmtId="177" fontId="0" fillId="0" borderId="11" xfId="0" applyNumberFormat="1" applyBorder="1" applyAlignment="1">
      <alignment horizontal="right" vertical="center"/>
    </xf>
    <xf numFmtId="167" fontId="0" fillId="0" borderId="23" xfId="0" applyNumberFormat="1" applyBorder="1" applyAlignment="1">
      <alignment horizontal="right" vertical="center"/>
    </xf>
    <xf numFmtId="178" fontId="0" fillId="0" borderId="13" xfId="0" applyNumberFormat="1" applyBorder="1" applyAlignment="1">
      <alignment horizontal="right" vertical="center"/>
    </xf>
    <xf numFmtId="170" fontId="0" fillId="0" borderId="11"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4" xfId="0" applyNumberFormat="1" applyBorder="1" applyAlignment="1">
      <alignment horizontal="right" vertical="center"/>
    </xf>
    <xf numFmtId="169" fontId="0" fillId="0" borderId="5" xfId="0" applyNumberFormat="1" applyBorder="1" applyAlignment="1">
      <alignment horizontal="right" vertical="center"/>
    </xf>
    <xf numFmtId="169" fontId="0" fillId="0" borderId="11" xfId="0" applyNumberFormat="1" applyBorder="1" applyAlignment="1">
      <alignment horizontal="right" vertical="center"/>
    </xf>
    <xf numFmtId="176" fontId="0" fillId="0" borderId="24" xfId="0" applyNumberFormat="1" applyBorder="1" applyAlignment="1">
      <alignment horizontal="right" vertical="center"/>
    </xf>
    <xf numFmtId="176" fontId="0" fillId="0" borderId="23"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12" fillId="0" borderId="13" xfId="0" applyFont="1" applyBorder="1" applyAlignment="1">
      <alignment horizontal="center" vertical="center"/>
    </xf>
    <xf numFmtId="0" fontId="10" fillId="0" borderId="0" xfId="0" applyFont="1" applyAlignment="1">
      <alignment horizontal="left" vertical="center"/>
    </xf>
    <xf numFmtId="0" fontId="4" fillId="0" borderId="0" xfId="0" applyFont="1" applyAlignment="1">
      <alignment vertical="center"/>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1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4" fillId="0" borderId="0" xfId="0" applyNumberFormat="1" applyFon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5" fillId="0" borderId="0" xfId="0" applyFont="1" applyAlignment="1">
      <alignment horizontal="center" vertical="center" wrapText="1"/>
    </xf>
    <xf numFmtId="172" fontId="0" fillId="0" borderId="13" xfId="0" applyNumberFormat="1" applyBorder="1" applyAlignment="1">
      <alignment vertical="center"/>
    </xf>
    <xf numFmtId="172" fontId="0" fillId="0" borderId="8" xfId="0" applyNumberFormat="1" applyBorder="1" applyAlignment="1">
      <alignment vertical="center"/>
    </xf>
    <xf numFmtId="168" fontId="0" fillId="0" borderId="11" xfId="0" applyNumberFormat="1" applyBorder="1" applyAlignment="1">
      <alignment horizontal="right" vertical="center"/>
    </xf>
    <xf numFmtId="168" fontId="0" fillId="0" borderId="5" xfId="0" applyNumberFormat="1" applyBorder="1" applyAlignment="1">
      <alignment horizontal="right" vertical="center"/>
    </xf>
    <xf numFmtId="168" fontId="0" fillId="0" borderId="11" xfId="0" applyNumberFormat="1" applyBorder="1" applyAlignment="1">
      <alignment vertical="center"/>
    </xf>
    <xf numFmtId="164" fontId="0" fillId="0" borderId="23" xfId="0" applyNumberFormat="1" applyBorder="1" applyAlignment="1">
      <alignment horizontal="right" vertical="center"/>
    </xf>
    <xf numFmtId="164" fontId="0" fillId="0" borderId="24" xfId="0" applyNumberFormat="1" applyBorder="1" applyAlignment="1">
      <alignment horizontal="right" vertical="center"/>
    </xf>
    <xf numFmtId="180" fontId="0" fillId="0" borderId="12" xfId="0" applyNumberFormat="1" applyBorder="1" applyAlignment="1">
      <alignment horizontal="right" vertical="center"/>
    </xf>
    <xf numFmtId="181" fontId="0" fillId="0" borderId="3" xfId="0" applyNumberFormat="1" applyBorder="1" applyAlignment="1">
      <alignment horizontal="right" vertical="center"/>
    </xf>
    <xf numFmtId="180" fontId="0" fillId="0" borderId="22" xfId="0" applyNumberFormat="1" applyBorder="1" applyAlignment="1">
      <alignment horizontal="right" vertical="center"/>
    </xf>
    <xf numFmtId="180" fontId="0" fillId="0" borderId="11" xfId="0" applyNumberFormat="1" applyBorder="1" applyAlignment="1">
      <alignment horizontal="right" vertical="center"/>
    </xf>
    <xf numFmtId="180" fontId="0" fillId="0" borderId="1" xfId="0" applyNumberFormat="1" applyBorder="1" applyAlignment="1">
      <alignment horizontal="right" vertical="center"/>
    </xf>
    <xf numFmtId="181" fontId="0" fillId="0" borderId="21" xfId="0" applyNumberFormat="1" applyBorder="1" applyAlignment="1">
      <alignment horizontal="right" vertical="center"/>
    </xf>
    <xf numFmtId="181" fontId="0" fillId="0" borderId="13"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4" fillId="0" borderId="0" xfId="0" applyFont="1"/>
    <xf numFmtId="0" fontId="4" fillId="0" borderId="0" xfId="0" applyFont="1" applyAlignment="1">
      <alignment vertical="center" wrapText="1"/>
    </xf>
    <xf numFmtId="2" fontId="5" fillId="0" borderId="0" xfId="0" applyNumberFormat="1" applyFont="1" applyAlignment="1">
      <alignment horizontal="center" vertical="center" wrapText="1"/>
    </xf>
    <xf numFmtId="2" fontId="4" fillId="0" borderId="0" xfId="0" applyNumberFormat="1" applyFont="1" applyAlignment="1">
      <alignment vertical="center" wrapText="1"/>
    </xf>
    <xf numFmtId="2" fontId="0" fillId="0" borderId="0" xfId="0" applyNumberFormat="1"/>
    <xf numFmtId="2" fontId="5" fillId="0" borderId="0" xfId="0" applyNumberFormat="1" applyFont="1" applyAlignment="1">
      <alignment horizontal="right" vertical="center" wrapText="1"/>
    </xf>
    <xf numFmtId="0" fontId="5" fillId="0" borderId="0" xfId="0" applyFont="1" applyAlignment="1">
      <alignment horizontal="left" vertical="center" wrapText="1"/>
    </xf>
    <xf numFmtId="0" fontId="5" fillId="0" borderId="0" xfId="0" applyFont="1"/>
    <xf numFmtId="0" fontId="3" fillId="0" borderId="0" xfId="0" applyFont="1" applyAlignment="1">
      <alignment horizontal="left" vertical="center" indent="1"/>
    </xf>
    <xf numFmtId="0" fontId="16" fillId="0" borderId="0" xfId="0" applyFont="1" applyAlignment="1">
      <alignment vertical="center"/>
    </xf>
    <xf numFmtId="0" fontId="4" fillId="0" borderId="0" xfId="0" applyFont="1" applyAlignment="1">
      <alignment horizontal="right" vertical="center"/>
    </xf>
    <xf numFmtId="1" fontId="5" fillId="0" borderId="0" xfId="0" applyNumberFormat="1" applyFont="1" applyAlignment="1" applyProtection="1">
      <alignment horizontal="right" vertical="center"/>
      <protection locked="0"/>
    </xf>
    <xf numFmtId="0" fontId="7"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1" fillId="0" borderId="0" xfId="5"/>
    <xf numFmtId="0" fontId="22" fillId="0" borderId="0" xfId="5" applyFont="1" applyAlignment="1">
      <alignment horizontal="left"/>
    </xf>
    <xf numFmtId="0" fontId="4" fillId="0" borderId="0" xfId="6"/>
    <xf numFmtId="0" fontId="12" fillId="10" borderId="42" xfId="6" applyFont="1" applyFill="1" applyBorder="1" applyAlignment="1">
      <alignment horizontal="center" wrapText="1"/>
    </xf>
    <xf numFmtId="0" fontId="12" fillId="0" borderId="43" xfId="6" applyFont="1" applyBorder="1" applyAlignment="1">
      <alignment horizontal="center" wrapText="1"/>
    </xf>
    <xf numFmtId="0" fontId="12" fillId="9" borderId="43" xfId="6" applyFont="1" applyFill="1" applyBorder="1" applyAlignment="1">
      <alignment horizontal="center" wrapText="1"/>
    </xf>
    <xf numFmtId="0" fontId="12" fillId="9" borderId="44" xfId="6" applyFont="1" applyFill="1" applyBorder="1" applyAlignment="1">
      <alignment horizontal="center" wrapText="1"/>
    </xf>
    <xf numFmtId="0" fontId="24" fillId="0" borderId="0" xfId="6" applyFont="1" applyAlignment="1">
      <alignment horizontal="center" vertical="center" wrapText="1"/>
    </xf>
    <xf numFmtId="0" fontId="24" fillId="0" borderId="0" xfId="0" applyFont="1" applyAlignment="1">
      <alignment horizontal="center" vertical="center"/>
    </xf>
    <xf numFmtId="166" fontId="22" fillId="0" borderId="0" xfId="5" applyNumberFormat="1" applyFont="1" applyAlignment="1">
      <alignment horizontal="left"/>
    </xf>
    <xf numFmtId="0" fontId="26" fillId="12" borderId="46" xfId="0" applyFont="1" applyFill="1" applyBorder="1" applyAlignment="1">
      <alignment horizontal="center" vertical="center" wrapText="1"/>
    </xf>
    <xf numFmtId="0" fontId="26" fillId="12" borderId="47" xfId="0" applyFont="1" applyFill="1" applyBorder="1" applyAlignment="1">
      <alignment horizontal="center" vertical="center" wrapText="1"/>
    </xf>
    <xf numFmtId="0" fontId="28" fillId="11" borderId="45" xfId="0" applyFont="1" applyFill="1" applyBorder="1" applyAlignment="1">
      <alignment horizontal="center" vertical="center"/>
    </xf>
    <xf numFmtId="0" fontId="28" fillId="11" borderId="0" xfId="0" applyFont="1" applyFill="1" applyAlignment="1">
      <alignment horizontal="center" vertical="center"/>
    </xf>
    <xf numFmtId="11" fontId="28" fillId="11" borderId="0" xfId="0" applyNumberFormat="1" applyFont="1" applyFill="1" applyAlignment="1">
      <alignment horizontal="center" vertical="center"/>
    </xf>
    <xf numFmtId="0" fontId="28" fillId="12" borderId="45" xfId="0" applyFont="1" applyFill="1" applyBorder="1" applyAlignment="1">
      <alignment horizontal="center" vertical="center"/>
    </xf>
    <xf numFmtId="0" fontId="28" fillId="12" borderId="0" xfId="0" applyFont="1" applyFill="1" applyAlignment="1">
      <alignment horizontal="center" vertical="center"/>
    </xf>
    <xf numFmtId="11" fontId="28" fillId="12" borderId="0" xfId="0" applyNumberFormat="1" applyFont="1" applyFill="1" applyAlignment="1">
      <alignment horizontal="center" vertical="center"/>
    </xf>
    <xf numFmtId="0" fontId="26" fillId="12" borderId="48" xfId="0" applyFont="1" applyFill="1" applyBorder="1" applyAlignment="1">
      <alignment horizontal="center" vertical="center" wrapText="1"/>
    </xf>
    <xf numFmtId="0" fontId="26" fillId="12" borderId="49" xfId="0" applyFont="1" applyFill="1" applyBorder="1" applyAlignment="1">
      <alignment horizontal="center" vertical="center" wrapText="1"/>
    </xf>
    <xf numFmtId="0" fontId="26" fillId="12" borderId="50" xfId="0" applyFont="1" applyFill="1" applyBorder="1" applyAlignment="1">
      <alignment horizontal="center" vertical="center" wrapText="1"/>
    </xf>
    <xf numFmtId="0" fontId="26" fillId="12" borderId="51" xfId="0" applyFont="1" applyFill="1" applyBorder="1" applyAlignment="1">
      <alignment horizontal="center" vertical="center" wrapText="1"/>
    </xf>
    <xf numFmtId="0" fontId="28" fillId="11" borderId="52" xfId="0" applyFont="1" applyFill="1" applyBorder="1" applyAlignment="1">
      <alignment horizontal="center" vertical="center"/>
    </xf>
    <xf numFmtId="0" fontId="28" fillId="12" borderId="52" xfId="0" applyFont="1" applyFill="1" applyBorder="1" applyAlignment="1">
      <alignment horizontal="center" vertical="center"/>
    </xf>
    <xf numFmtId="0" fontId="28" fillId="12" borderId="51" xfId="0" applyFont="1" applyFill="1" applyBorder="1" applyAlignment="1">
      <alignment horizontal="center" vertical="center"/>
    </xf>
    <xf numFmtId="0" fontId="28" fillId="12" borderId="47" xfId="0" applyFont="1" applyFill="1" applyBorder="1" applyAlignment="1">
      <alignment horizontal="center" vertical="center"/>
    </xf>
    <xf numFmtId="11" fontId="28" fillId="12" borderId="47" xfId="0" applyNumberFormat="1" applyFont="1" applyFill="1" applyBorder="1" applyAlignment="1">
      <alignment horizontal="center" vertical="center"/>
    </xf>
    <xf numFmtId="0" fontId="28" fillId="12" borderId="46" xfId="0" applyFont="1" applyFill="1" applyBorder="1" applyAlignment="1">
      <alignment horizontal="center" vertical="center"/>
    </xf>
    <xf numFmtId="0" fontId="28" fillId="11" borderId="48" xfId="0" applyFont="1" applyFill="1" applyBorder="1" applyAlignment="1">
      <alignment horizontal="center" vertical="center"/>
    </xf>
    <xf numFmtId="0" fontId="28" fillId="11" borderId="49" xfId="0" applyFont="1" applyFill="1" applyBorder="1" applyAlignment="1">
      <alignment horizontal="center" vertical="center"/>
    </xf>
    <xf numFmtId="11" fontId="28" fillId="11" borderId="49" xfId="0" applyNumberFormat="1" applyFont="1" applyFill="1" applyBorder="1" applyAlignment="1">
      <alignment horizontal="center" vertical="center"/>
    </xf>
    <xf numFmtId="0" fontId="28" fillId="11" borderId="50" xfId="0" applyFont="1" applyFill="1" applyBorder="1" applyAlignment="1">
      <alignment horizontal="center" vertical="center"/>
    </xf>
    <xf numFmtId="0" fontId="11" fillId="0" borderId="0" xfId="1" applyAlignment="1" applyProtection="1">
      <alignment vertical="center"/>
    </xf>
    <xf numFmtId="0" fontId="29" fillId="0" borderId="0" xfId="0" applyFont="1" applyAlignment="1">
      <alignment vertical="center"/>
    </xf>
    <xf numFmtId="0" fontId="30" fillId="0" borderId="0" xfId="0" applyFont="1" applyAlignment="1">
      <alignment vertical="center"/>
    </xf>
    <xf numFmtId="0" fontId="3" fillId="0" borderId="0" xfId="0" applyFont="1"/>
    <xf numFmtId="0" fontId="3" fillId="0" borderId="0" xfId="0" applyFont="1" applyAlignment="1">
      <alignment horizontal="center" vertical="center" wrapText="1"/>
    </xf>
    <xf numFmtId="0" fontId="4" fillId="0" borderId="0" xfId="0" applyFont="1" applyAlignment="1">
      <alignment horizontal="left" vertical="center" wrapText="1"/>
    </xf>
    <xf numFmtId="166" fontId="4" fillId="0" borderId="0" xfId="0" applyNumberFormat="1" applyFont="1" applyAlignment="1">
      <alignment horizontal="left" vertical="center" wrapText="1"/>
    </xf>
    <xf numFmtId="0" fontId="1" fillId="0" borderId="0" xfId="7" applyAlignment="1">
      <alignment horizontal="left"/>
    </xf>
    <xf numFmtId="0" fontId="23" fillId="0" borderId="0" xfId="5" applyFont="1" applyAlignment="1">
      <alignment wrapText="1"/>
    </xf>
    <xf numFmtId="0" fontId="1" fillId="0" borderId="0" xfId="7"/>
    <xf numFmtId="0" fontId="23" fillId="0" borderId="0" xfId="5" applyFont="1" applyAlignment="1">
      <alignment horizontal="center" vertical="center" wrapText="1"/>
    </xf>
    <xf numFmtId="168" fontId="25" fillId="0" borderId="0" xfId="5" applyNumberFormat="1" applyFont="1" applyAlignment="1">
      <alignment horizontal="center" vertical="center" wrapText="1"/>
    </xf>
    <xf numFmtId="0" fontId="1" fillId="0" borderId="0" xfId="7" applyAlignment="1">
      <alignment horizontal="center" vertical="center"/>
    </xf>
    <xf numFmtId="0" fontId="22" fillId="0" borderId="0" xfId="5" applyFont="1" applyAlignment="1">
      <alignment horizontal="center" vertical="center"/>
    </xf>
    <xf numFmtId="168" fontId="1" fillId="0" borderId="0" xfId="7" applyNumberFormat="1" applyAlignment="1">
      <alignment horizontal="center" vertical="center"/>
    </xf>
    <xf numFmtId="168" fontId="21" fillId="0" borderId="0" xfId="5" applyNumberFormat="1" applyAlignment="1">
      <alignment horizontal="center" vertical="center"/>
    </xf>
    <xf numFmtId="168" fontId="22" fillId="0" borderId="0" xfId="5" applyNumberFormat="1" applyFont="1" applyAlignment="1">
      <alignment horizontal="center" vertical="center"/>
    </xf>
    <xf numFmtId="168" fontId="0" fillId="0" borderId="0" xfId="0" applyNumberFormat="1" applyAlignment="1">
      <alignment horizontal="center" vertical="center"/>
    </xf>
    <xf numFmtId="0" fontId="21" fillId="0" borderId="0" xfId="5" applyAlignment="1">
      <alignment horizontal="center" vertical="center"/>
    </xf>
    <xf numFmtId="2" fontId="22" fillId="0" borderId="0" xfId="5" applyNumberFormat="1" applyFont="1" applyAlignment="1">
      <alignment horizontal="center" vertical="center"/>
    </xf>
    <xf numFmtId="2" fontId="21" fillId="0" borderId="0" xfId="5" applyNumberFormat="1" applyAlignment="1">
      <alignment horizontal="center" vertical="center"/>
    </xf>
    <xf numFmtId="0" fontId="31" fillId="0" borderId="0" xfId="0" applyFont="1" applyAlignment="1">
      <alignment vertical="center"/>
    </xf>
    <xf numFmtId="0" fontId="32" fillId="0" borderId="0" xfId="0" applyFont="1" applyAlignment="1">
      <alignment horizontal="center" vertical="center"/>
    </xf>
    <xf numFmtId="168" fontId="33" fillId="0" borderId="0" xfId="7" applyNumberFormat="1" applyFont="1" applyAlignment="1">
      <alignment horizontal="center" vertical="center"/>
    </xf>
    <xf numFmtId="168" fontId="34" fillId="0" borderId="0" xfId="5" applyNumberFormat="1" applyFont="1" applyAlignment="1">
      <alignment horizontal="center" vertical="center"/>
    </xf>
    <xf numFmtId="168" fontId="35" fillId="0" borderId="0" xfId="0" applyNumberFormat="1" applyFont="1" applyAlignment="1">
      <alignment horizontal="center" vertical="center"/>
    </xf>
    <xf numFmtId="168" fontId="23" fillId="8" borderId="0" xfId="5" applyNumberFormat="1" applyFont="1" applyFill="1" applyAlignment="1">
      <alignment horizontal="center" vertical="center" wrapText="1"/>
    </xf>
    <xf numFmtId="0" fontId="23" fillId="8" borderId="0" xfId="5" applyFont="1" applyFill="1" applyAlignment="1">
      <alignment horizontal="center" vertical="center" wrapText="1"/>
    </xf>
    <xf numFmtId="2" fontId="23" fillId="8" borderId="0" xfId="5" applyNumberFormat="1" applyFont="1" applyFill="1" applyAlignment="1">
      <alignment horizontal="center" vertical="center" wrapText="1"/>
    </xf>
    <xf numFmtId="0" fontId="4" fillId="0" borderId="0" xfId="0" applyFont="1" applyAlignment="1">
      <alignment horizontal="center" vertical="center" wrapText="1"/>
    </xf>
    <xf numFmtId="0" fontId="22" fillId="0" borderId="0" xfId="5" applyFont="1" applyAlignment="1">
      <alignment horizontal="center"/>
    </xf>
    <xf numFmtId="0" fontId="12" fillId="0" borderId="0" xfId="0" quotePrefix="1" applyFont="1"/>
    <xf numFmtId="0" fontId="12" fillId="0" borderId="0" xfId="0" applyFont="1"/>
    <xf numFmtId="0" fontId="12" fillId="0" borderId="0" xfId="0" applyFont="1" applyAlignment="1">
      <alignment horizontal="center" vertical="center"/>
    </xf>
    <xf numFmtId="0" fontId="12" fillId="0" borderId="0" xfId="0" applyFont="1" applyAlignment="1">
      <alignment vertical="center"/>
    </xf>
    <xf numFmtId="0" fontId="39" fillId="0" borderId="0" xfId="0" applyFont="1" applyAlignment="1">
      <alignment horizontal="center" vertical="center"/>
    </xf>
    <xf numFmtId="0" fontId="39" fillId="0" borderId="58" xfId="0" applyFont="1" applyBorder="1" applyAlignment="1">
      <alignment horizontal="left" wrapText="1" indent="1"/>
    </xf>
    <xf numFmtId="1" fontId="12" fillId="0" borderId="0" xfId="0" applyNumberFormat="1" applyFont="1"/>
    <xf numFmtId="0" fontId="12" fillId="0" borderId="59" xfId="0" applyFont="1" applyBorder="1"/>
    <xf numFmtId="0" fontId="12" fillId="0" borderId="60" xfId="0" applyFont="1" applyBorder="1" applyAlignment="1">
      <alignment vertical="center"/>
    </xf>
    <xf numFmtId="0" fontId="12" fillId="0" borderId="61" xfId="0" applyFont="1" applyBorder="1" applyAlignment="1">
      <alignment vertical="center"/>
    </xf>
    <xf numFmtId="0" fontId="12" fillId="0" borderId="23" xfId="0" applyFont="1" applyBorder="1" applyAlignment="1">
      <alignment vertical="center"/>
    </xf>
    <xf numFmtId="0" fontId="12" fillId="0" borderId="58" xfId="0" applyFont="1" applyBorder="1" applyAlignment="1">
      <alignment horizontal="center" wrapText="1"/>
    </xf>
    <xf numFmtId="0" fontId="39" fillId="0" borderId="10" xfId="0" applyFont="1" applyBorder="1" applyAlignment="1">
      <alignment horizontal="right"/>
    </xf>
    <xf numFmtId="2" fontId="12" fillId="0" borderId="16" xfId="0" applyNumberFormat="1" applyFont="1" applyBorder="1" applyAlignment="1">
      <alignment horizontal="center"/>
    </xf>
    <xf numFmtId="2" fontId="12" fillId="0" borderId="0" xfId="0" applyNumberFormat="1" applyFont="1" applyAlignment="1">
      <alignment horizontal="center"/>
    </xf>
    <xf numFmtId="0" fontId="39" fillId="0" borderId="10" xfId="0" applyFont="1" applyBorder="1"/>
    <xf numFmtId="0" fontId="12" fillId="0" borderId="16" xfId="0" applyFont="1" applyBorder="1" applyAlignment="1">
      <alignment horizontal="center"/>
    </xf>
    <xf numFmtId="0" fontId="12" fillId="0" borderId="0" xfId="0" applyFont="1" applyAlignment="1">
      <alignment horizontal="center"/>
    </xf>
    <xf numFmtId="0" fontId="12" fillId="0" borderId="62" xfId="0" applyFont="1" applyBorder="1"/>
    <xf numFmtId="0" fontId="12" fillId="0" borderId="54" xfId="0" applyFont="1" applyBorder="1"/>
    <xf numFmtId="2" fontId="12" fillId="0" borderId="0" xfId="0" applyNumberFormat="1" applyFont="1"/>
    <xf numFmtId="0" fontId="12" fillId="0" borderId="10" xfId="0" applyFont="1" applyBorder="1"/>
    <xf numFmtId="0" fontId="12" fillId="0" borderId="0" xfId="0" applyFont="1" applyAlignment="1">
      <alignment horizontal="right"/>
    </xf>
    <xf numFmtId="0" fontId="12" fillId="0" borderId="16" xfId="0" applyFont="1" applyBorder="1"/>
    <xf numFmtId="2" fontId="39" fillId="6" borderId="55" xfId="0" applyNumberFormat="1" applyFont="1" applyFill="1" applyBorder="1" applyAlignment="1">
      <alignment horizontal="center"/>
    </xf>
    <xf numFmtId="0" fontId="39" fillId="0" borderId="11" xfId="0" applyFont="1" applyBorder="1" applyAlignment="1">
      <alignment horizontal="center"/>
    </xf>
    <xf numFmtId="1" fontId="12" fillId="6" borderId="15" xfId="0" applyNumberFormat="1" applyFont="1" applyFill="1" applyBorder="1"/>
    <xf numFmtId="0" fontId="12" fillId="0" borderId="64" xfId="0" applyFont="1" applyBorder="1"/>
    <xf numFmtId="2" fontId="12" fillId="6" borderId="16" xfId="0" applyNumberFormat="1" applyFont="1" applyFill="1" applyBorder="1"/>
    <xf numFmtId="2" fontId="39" fillId="6" borderId="59" xfId="0" applyNumberFormat="1" applyFont="1" applyFill="1" applyBorder="1" applyAlignment="1">
      <alignment horizontal="center"/>
    </xf>
    <xf numFmtId="0" fontId="12" fillId="0" borderId="10" xfId="0" applyFont="1" applyBorder="1" applyAlignment="1">
      <alignment horizontal="center"/>
    </xf>
    <xf numFmtId="2" fontId="39" fillId="6" borderId="63" xfId="0" applyNumberFormat="1" applyFont="1" applyFill="1" applyBorder="1"/>
    <xf numFmtId="2" fontId="39" fillId="0" borderId="0" xfId="0" applyNumberFormat="1" applyFont="1"/>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41" fillId="0" borderId="10" xfId="0" applyFont="1" applyBorder="1" applyAlignment="1">
      <alignment horizontal="right"/>
    </xf>
    <xf numFmtId="0" fontId="12" fillId="0" borderId="8" xfId="0" applyFont="1" applyBorder="1"/>
    <xf numFmtId="0" fontId="12" fillId="0" borderId="6" xfId="0" applyFont="1" applyBorder="1"/>
    <xf numFmtId="168" fontId="12" fillId="0" borderId="28" xfId="0" applyNumberFormat="1" applyFont="1" applyBorder="1"/>
    <xf numFmtId="0" fontId="39" fillId="0" borderId="0" xfId="0" applyFont="1" applyAlignment="1">
      <alignment horizontal="right"/>
    </xf>
    <xf numFmtId="168" fontId="12" fillId="0" borderId="0" xfId="0" applyNumberFormat="1" applyFont="1"/>
    <xf numFmtId="0" fontId="12" fillId="0" borderId="13" xfId="0" applyFont="1" applyBorder="1" applyAlignment="1">
      <alignment horizontal="right"/>
    </xf>
    <xf numFmtId="0" fontId="39" fillId="0" borderId="63" xfId="0" applyFont="1" applyBorder="1" applyAlignment="1">
      <alignment horizontal="center"/>
    </xf>
    <xf numFmtId="0" fontId="39" fillId="0" borderId="0" xfId="0" applyFont="1" applyAlignment="1">
      <alignment horizontal="center"/>
    </xf>
    <xf numFmtId="0" fontId="41" fillId="0" borderId="8" xfId="0" applyFont="1" applyBorder="1"/>
    <xf numFmtId="0" fontId="12" fillId="0" borderId="28" xfId="0" applyFont="1" applyBorder="1"/>
    <xf numFmtId="0" fontId="12" fillId="0" borderId="8" xfId="0" quotePrefix="1" applyFont="1" applyBorder="1" applyAlignment="1">
      <alignment horizontal="right"/>
    </xf>
    <xf numFmtId="0" fontId="39" fillId="6" borderId="65" xfId="0" applyFont="1" applyFill="1" applyBorder="1" applyAlignment="1">
      <alignment horizontal="center"/>
    </xf>
    <xf numFmtId="0" fontId="39" fillId="0" borderId="14" xfId="0" applyFont="1" applyBorder="1" applyAlignment="1">
      <alignment horizontal="center"/>
    </xf>
    <xf numFmtId="0" fontId="41" fillId="0" borderId="0" xfId="0" applyFont="1"/>
    <xf numFmtId="0" fontId="12" fillId="0" borderId="0" xfId="0" quotePrefix="1" applyFont="1" applyAlignment="1">
      <alignment horizontal="right"/>
    </xf>
    <xf numFmtId="0" fontId="39" fillId="5" borderId="17" xfId="0" applyFont="1" applyFill="1" applyBorder="1" applyAlignment="1">
      <alignment horizontal="center"/>
    </xf>
    <xf numFmtId="0" fontId="12" fillId="5" borderId="18" xfId="0" applyFont="1" applyFill="1" applyBorder="1" applyAlignment="1">
      <alignment horizontal="center"/>
    </xf>
    <xf numFmtId="0" fontId="12" fillId="5" borderId="20" xfId="0" applyFont="1" applyFill="1" applyBorder="1" applyAlignment="1">
      <alignment horizontal="center"/>
    </xf>
    <xf numFmtId="165" fontId="39" fillId="6" borderId="16" xfId="0" applyNumberFormat="1" applyFont="1" applyFill="1" applyBorder="1" applyAlignment="1">
      <alignment horizontal="center"/>
    </xf>
    <xf numFmtId="0" fontId="12" fillId="0" borderId="0" xfId="0" quotePrefix="1" applyFont="1" applyAlignment="1">
      <alignment horizontal="center"/>
    </xf>
    <xf numFmtId="0" fontId="12" fillId="5" borderId="17" xfId="0" applyFont="1" applyFill="1" applyBorder="1" applyAlignment="1">
      <alignment horizontal="right"/>
    </xf>
    <xf numFmtId="2" fontId="12" fillId="5" borderId="18" xfId="0" applyNumberFormat="1" applyFont="1" applyFill="1" applyBorder="1" applyAlignment="1">
      <alignment horizontal="center"/>
    </xf>
    <xf numFmtId="0" fontId="12" fillId="5" borderId="20" xfId="0" applyFont="1" applyFill="1" applyBorder="1"/>
    <xf numFmtId="2" fontId="39" fillId="0" borderId="16" xfId="0" applyNumberFormat="1" applyFont="1" applyBorder="1" applyAlignment="1">
      <alignment horizontal="center"/>
    </xf>
    <xf numFmtId="0" fontId="39" fillId="0" borderId="10" xfId="0" quotePrefix="1" applyFont="1" applyBorder="1" applyAlignment="1">
      <alignment horizontal="right"/>
    </xf>
    <xf numFmtId="0" fontId="39" fillId="0" borderId="16" xfId="0" applyFont="1" applyBorder="1" applyAlignment="1">
      <alignment horizontal="center"/>
    </xf>
    <xf numFmtId="2" fontId="41" fillId="0" borderId="10" xfId="0" applyNumberFormat="1" applyFont="1" applyBorder="1" applyAlignment="1">
      <alignment horizontal="center"/>
    </xf>
    <xf numFmtId="0" fontId="12" fillId="0" borderId="10" xfId="0" quotePrefix="1" applyFont="1" applyBorder="1" applyAlignment="1">
      <alignment horizontal="right"/>
    </xf>
    <xf numFmtId="0" fontId="39" fillId="0" borderId="10" xfId="0" applyFont="1" applyBorder="1" applyAlignment="1">
      <alignment horizontal="center"/>
    </xf>
    <xf numFmtId="2" fontId="39" fillId="6" borderId="16" xfId="0" applyNumberFormat="1" applyFont="1" applyFill="1" applyBorder="1" applyAlignment="1">
      <alignment horizontal="center"/>
    </xf>
    <xf numFmtId="0" fontId="12" fillId="6" borderId="0" xfId="0" applyFont="1" applyFill="1" applyAlignment="1">
      <alignment horizontal="center"/>
    </xf>
    <xf numFmtId="0" fontId="12" fillId="6" borderId="16" xfId="0" applyFont="1" applyFill="1" applyBorder="1" applyAlignment="1">
      <alignment horizontal="center"/>
    </xf>
    <xf numFmtId="0" fontId="12" fillId="0" borderId="58" xfId="0" applyFont="1" applyBorder="1"/>
    <xf numFmtId="0" fontId="39" fillId="0" borderId="8" xfId="0" applyFont="1" applyBorder="1" applyAlignment="1">
      <alignment horizontal="right"/>
    </xf>
    <xf numFmtId="0" fontId="12" fillId="0" borderId="58" xfId="0" applyFont="1" applyBorder="1" applyAlignment="1">
      <alignment horizontal="center"/>
    </xf>
    <xf numFmtId="0" fontId="41" fillId="0" borderId="8" xfId="0" applyFont="1" applyBorder="1" applyAlignment="1">
      <alignment horizontal="center"/>
    </xf>
    <xf numFmtId="0" fontId="12" fillId="6" borderId="6" xfId="0" applyFont="1" applyFill="1" applyBorder="1" applyAlignment="1">
      <alignment horizontal="center"/>
    </xf>
    <xf numFmtId="0" fontId="12" fillId="6" borderId="28" xfId="0" applyFont="1" applyFill="1" applyBorder="1" applyAlignment="1">
      <alignment horizontal="center"/>
    </xf>
    <xf numFmtId="2" fontId="12" fillId="6" borderId="15" xfId="0" applyNumberFormat="1" applyFont="1" applyFill="1" applyBorder="1"/>
    <xf numFmtId="0" fontId="39" fillId="0" borderId="30" xfId="0" applyFont="1" applyBorder="1"/>
    <xf numFmtId="0" fontId="12" fillId="0" borderId="31" xfId="0" applyFont="1" applyBorder="1"/>
    <xf numFmtId="0" fontId="12" fillId="0" borderId="32" xfId="0" applyFont="1" applyBorder="1"/>
    <xf numFmtId="0" fontId="12" fillId="0" borderId="35" xfId="0" applyFont="1" applyBorder="1"/>
    <xf numFmtId="0" fontId="12" fillId="0" borderId="36" xfId="0" applyFont="1" applyBorder="1"/>
    <xf numFmtId="0" fontId="39" fillId="0" borderId="35" xfId="0" applyFont="1" applyBorder="1" applyAlignment="1">
      <alignment horizontal="center"/>
    </xf>
    <xf numFmtId="1" fontId="39" fillId="0" borderId="0" xfId="0" applyNumberFormat="1" applyFont="1" applyAlignment="1">
      <alignment horizontal="center"/>
    </xf>
    <xf numFmtId="0" fontId="39" fillId="0" borderId="36" xfId="0" applyFont="1" applyBorder="1" applyAlignment="1">
      <alignment horizontal="center"/>
    </xf>
    <xf numFmtId="2" fontId="39" fillId="6" borderId="15" xfId="0" applyNumberFormat="1" applyFont="1" applyFill="1" applyBorder="1" applyAlignment="1">
      <alignment horizontal="center"/>
    </xf>
    <xf numFmtId="2" fontId="39" fillId="6" borderId="1" xfId="0" applyNumberFormat="1" applyFont="1" applyFill="1" applyBorder="1" applyAlignment="1">
      <alignment horizontal="center"/>
    </xf>
    <xf numFmtId="2" fontId="39" fillId="6" borderId="4" xfId="0" applyNumberFormat="1" applyFont="1" applyFill="1" applyBorder="1" applyAlignment="1">
      <alignment horizontal="center"/>
    </xf>
    <xf numFmtId="2" fontId="39" fillId="6" borderId="68" xfId="0" applyNumberFormat="1" applyFont="1" applyFill="1" applyBorder="1" applyAlignment="1">
      <alignment horizontal="center"/>
    </xf>
    <xf numFmtId="2" fontId="39" fillId="0" borderId="0" xfId="0" applyNumberFormat="1" applyFont="1" applyAlignment="1">
      <alignment horizontal="center"/>
    </xf>
    <xf numFmtId="172" fontId="12" fillId="6" borderId="16" xfId="0" applyNumberFormat="1" applyFont="1" applyFill="1" applyBorder="1"/>
    <xf numFmtId="2" fontId="39" fillId="0" borderId="36" xfId="0" applyNumberFormat="1" applyFont="1" applyBorder="1" applyAlignment="1">
      <alignment horizontal="center"/>
    </xf>
    <xf numFmtId="0" fontId="39" fillId="0" borderId="8" xfId="0" applyFont="1" applyBorder="1"/>
    <xf numFmtId="165" fontId="46" fillId="6" borderId="28" xfId="0" applyNumberFormat="1" applyFont="1" applyFill="1" applyBorder="1"/>
    <xf numFmtId="2" fontId="39" fillId="0" borderId="15" xfId="0" applyNumberFormat="1" applyFont="1" applyBorder="1" applyAlignment="1">
      <alignment horizontal="center"/>
    </xf>
    <xf numFmtId="0" fontId="48" fillId="0" borderId="0" xfId="0" applyFont="1" applyAlignment="1">
      <alignment horizontal="center"/>
    </xf>
    <xf numFmtId="0" fontId="48" fillId="0" borderId="36" xfId="0" applyFont="1" applyBorder="1" applyAlignment="1">
      <alignment horizontal="center"/>
    </xf>
    <xf numFmtId="0" fontId="39" fillId="0" borderId="35" xfId="0" applyFont="1" applyBorder="1"/>
    <xf numFmtId="0" fontId="0" fillId="0" borderId="53" xfId="0" applyBorder="1"/>
    <xf numFmtId="0" fontId="0" fillId="6" borderId="55" xfId="0" applyFill="1" applyBorder="1"/>
    <xf numFmtId="2" fontId="39" fillId="6" borderId="0" xfId="0" applyNumberFormat="1" applyFont="1" applyFill="1" applyAlignment="1">
      <alignment horizontal="center"/>
    </xf>
    <xf numFmtId="2" fontId="39" fillId="6" borderId="36" xfId="0" applyNumberFormat="1" applyFont="1" applyFill="1" applyBorder="1" applyAlignment="1">
      <alignment horizontal="center"/>
    </xf>
    <xf numFmtId="0" fontId="0" fillId="0" borderId="58" xfId="0" applyBorder="1"/>
    <xf numFmtId="0" fontId="0" fillId="0" borderId="59" xfId="0" applyBorder="1"/>
    <xf numFmtId="166" fontId="12" fillId="6" borderId="15" xfId="0" applyNumberFormat="1" applyFont="1" applyFill="1" applyBorder="1"/>
    <xf numFmtId="0" fontId="12" fillId="0" borderId="33" xfId="0" applyFont="1" applyBorder="1"/>
    <xf numFmtId="0" fontId="12" fillId="0" borderId="29" xfId="0" applyFont="1" applyBorder="1"/>
    <xf numFmtId="0" fontId="12" fillId="0" borderId="34" xfId="0" applyFont="1" applyBorder="1"/>
    <xf numFmtId="0" fontId="0" fillId="6" borderId="59" xfId="0" applyFill="1" applyBorder="1"/>
    <xf numFmtId="1" fontId="12" fillId="0" borderId="6" xfId="0" applyNumberFormat="1" applyFont="1" applyBorder="1"/>
    <xf numFmtId="0" fontId="0" fillId="0" borderId="11" xfId="0" applyBorder="1"/>
    <xf numFmtId="0" fontId="0" fillId="0" borderId="12" xfId="0" applyBorder="1"/>
    <xf numFmtId="2" fontId="3" fillId="6" borderId="64" xfId="0" applyNumberFormat="1" applyFont="1" applyFill="1" applyBorder="1"/>
    <xf numFmtId="0" fontId="49" fillId="0" borderId="10" xfId="0" applyFont="1" applyBorder="1"/>
    <xf numFmtId="0" fontId="39" fillId="0" borderId="35" xfId="0" applyFont="1" applyBorder="1" applyAlignment="1">
      <alignment horizontal="center" vertical="center"/>
    </xf>
    <xf numFmtId="0" fontId="3" fillId="0" borderId="36" xfId="0" applyFont="1" applyBorder="1" applyAlignment="1">
      <alignment horizontal="center" vertical="center"/>
    </xf>
    <xf numFmtId="3" fontId="12" fillId="6" borderId="35" xfId="0" applyNumberFormat="1" applyFont="1" applyFill="1" applyBorder="1" applyAlignment="1">
      <alignment horizontal="center"/>
    </xf>
    <xf numFmtId="2" fontId="4" fillId="6" borderId="0" xfId="0" applyNumberFormat="1" applyFont="1" applyFill="1" applyAlignment="1">
      <alignment horizontal="center"/>
    </xf>
    <xf numFmtId="0" fontId="12" fillId="6" borderId="35" xfId="0" applyFont="1" applyFill="1" applyBorder="1" applyAlignment="1">
      <alignment horizontal="center"/>
    </xf>
    <xf numFmtId="0" fontId="4" fillId="0" borderId="10" xfId="0" applyFont="1" applyBorder="1" applyAlignment="1">
      <alignment horizontal="left"/>
    </xf>
    <xf numFmtId="0" fontId="3" fillId="0" borderId="35" xfId="0" applyFont="1" applyBorder="1" applyAlignment="1">
      <alignment horizontal="center" vertical="center"/>
    </xf>
    <xf numFmtId="0" fontId="50" fillId="13" borderId="10" xfId="0" applyFont="1" applyFill="1" applyBorder="1" applyAlignment="1">
      <alignment horizontal="left"/>
    </xf>
    <xf numFmtId="0" fontId="4" fillId="13" borderId="10" xfId="0" applyFont="1" applyFill="1" applyBorder="1" applyAlignment="1">
      <alignment horizontal="left"/>
    </xf>
    <xf numFmtId="0" fontId="4" fillId="0" borderId="10" xfId="0" applyFont="1" applyBorder="1" applyAlignment="1">
      <alignment horizontal="center"/>
    </xf>
    <xf numFmtId="0" fontId="50" fillId="14" borderId="10" xfId="0" applyFont="1" applyFill="1" applyBorder="1" applyAlignment="1">
      <alignment horizontal="left"/>
    </xf>
    <xf numFmtId="0" fontId="4" fillId="14" borderId="10" xfId="0" applyFont="1" applyFill="1" applyBorder="1" applyAlignment="1">
      <alignment horizontal="left"/>
    </xf>
    <xf numFmtId="0" fontId="51" fillId="0" borderId="10" xfId="0" applyFont="1" applyBorder="1" applyAlignment="1">
      <alignment horizontal="left"/>
    </xf>
    <xf numFmtId="166" fontId="0" fillId="0" borderId="0" xfId="0" applyNumberFormat="1"/>
    <xf numFmtId="166" fontId="3" fillId="0" borderId="0" xfId="0" applyNumberFormat="1" applyFont="1" applyAlignment="1">
      <alignment horizontal="center" vertical="center" wrapText="1"/>
    </xf>
    <xf numFmtId="166" fontId="4" fillId="0" borderId="0" xfId="0" applyNumberFormat="1" applyFont="1"/>
    <xf numFmtId="0" fontId="57" fillId="0" borderId="69" xfId="0" applyFont="1" applyBorder="1" applyAlignment="1" applyProtection="1">
      <alignment horizontal="left"/>
      <protection hidden="1"/>
    </xf>
    <xf numFmtId="0" fontId="56" fillId="0" borderId="0" xfId="0" applyFont="1" applyAlignment="1" applyProtection="1">
      <alignment horizontal="center" vertical="center"/>
      <protection hidden="1"/>
    </xf>
    <xf numFmtId="0" fontId="14" fillId="0" borderId="0" xfId="3" applyFont="1" applyAlignment="1">
      <alignment horizontal="center"/>
    </xf>
    <xf numFmtId="0" fontId="4" fillId="0" borderId="0" xfId="3" applyFont="1" applyAlignment="1">
      <alignment horizontal="right"/>
    </xf>
    <xf numFmtId="0" fontId="17" fillId="4" borderId="0" xfId="3" applyFont="1" applyFill="1" applyAlignment="1">
      <alignment horizontal="center"/>
    </xf>
    <xf numFmtId="0" fontId="37" fillId="0" borderId="0" xfId="0" applyFont="1" applyAlignment="1">
      <alignment horizontal="left" vertical="top" wrapText="1"/>
    </xf>
    <xf numFmtId="0" fontId="3" fillId="0" borderId="0" xfId="3" applyFont="1" applyAlignment="1">
      <alignment horizontal="right"/>
    </xf>
    <xf numFmtId="0" fontId="3" fillId="0" borderId="0" xfId="3" applyFont="1" applyAlignment="1">
      <alignment horizontal="center" vertical="center"/>
    </xf>
    <xf numFmtId="2" fontId="3" fillId="0" borderId="0" xfId="3" applyNumberFormat="1" applyFont="1" applyAlignment="1">
      <alignment horizontal="center" vertical="center"/>
    </xf>
    <xf numFmtId="0" fontId="19" fillId="0" borderId="0" xfId="3" applyFont="1" applyAlignment="1">
      <alignment horizontal="center" vertical="center"/>
    </xf>
    <xf numFmtId="0" fontId="19" fillId="0" borderId="0" xfId="3" applyFont="1" applyAlignment="1">
      <alignment horizontal="center"/>
    </xf>
    <xf numFmtId="14" fontId="19" fillId="0" borderId="0" xfId="3" applyNumberFormat="1" applyFont="1" applyProtection="1">
      <protection locked="0"/>
    </xf>
    <xf numFmtId="0" fontId="19" fillId="0" borderId="0" xfId="3" applyFont="1"/>
    <xf numFmtId="0" fontId="20" fillId="0" borderId="0" xfId="3" applyFont="1" applyAlignment="1">
      <alignment horizontal="center"/>
    </xf>
    <xf numFmtId="0" fontId="62" fillId="0" borderId="69" xfId="0" applyFont="1" applyBorder="1" applyAlignment="1" applyProtection="1">
      <alignment horizontal="left"/>
      <protection hidden="1"/>
    </xf>
    <xf numFmtId="0" fontId="19" fillId="0" borderId="0" xfId="3" quotePrefix="1" applyFont="1" applyAlignment="1">
      <alignment horizontal="center"/>
    </xf>
    <xf numFmtId="0" fontId="19" fillId="0" borderId="0" xfId="3" quotePrefix="1" applyFont="1"/>
    <xf numFmtId="0" fontId="20" fillId="0" borderId="0" xfId="3" applyFont="1" applyAlignment="1">
      <alignment horizontal="center" vertical="center"/>
    </xf>
    <xf numFmtId="0" fontId="58" fillId="0" borderId="0" xfId="3" applyFont="1"/>
    <xf numFmtId="0" fontId="3" fillId="4" borderId="0" xfId="3" applyFont="1" applyFill="1" applyAlignment="1">
      <alignment horizontal="center"/>
    </xf>
    <xf numFmtId="0" fontId="37" fillId="0" borderId="0" xfId="3" applyFont="1"/>
    <xf numFmtId="0" fontId="17" fillId="0" borderId="0" xfId="3" applyFont="1" applyAlignment="1">
      <alignment horizontal="center"/>
    </xf>
    <xf numFmtId="0" fontId="17" fillId="0" borderId="0" xfId="3" applyFont="1" applyAlignment="1">
      <alignment horizontal="left"/>
    </xf>
    <xf numFmtId="0" fontId="4" fillId="0" borderId="0" xfId="3" applyFont="1" applyAlignment="1">
      <alignment horizontal="left" vertical="center"/>
    </xf>
    <xf numFmtId="9" fontId="17" fillId="0" borderId="0" xfId="3" applyNumberFormat="1" applyFont="1" applyAlignment="1">
      <alignment horizontal="left"/>
    </xf>
    <xf numFmtId="0" fontId="37" fillId="0" borderId="0" xfId="3" applyFont="1" applyAlignment="1">
      <alignment horizontal="left" vertical="top" wrapText="1"/>
    </xf>
    <xf numFmtId="0" fontId="17" fillId="0" borderId="0" xfId="3" applyFont="1" applyAlignment="1">
      <alignment horizontal="center" wrapText="1"/>
    </xf>
    <xf numFmtId="0" fontId="19" fillId="0" borderId="0" xfId="3" applyFont="1" applyAlignment="1">
      <alignment vertical="center"/>
    </xf>
    <xf numFmtId="0" fontId="15" fillId="0" borderId="0" xfId="3" applyFont="1" applyAlignment="1">
      <alignment horizontal="right" vertical="center"/>
    </xf>
    <xf numFmtId="2" fontId="55" fillId="0" borderId="0" xfId="3" applyNumberFormat="1" applyFont="1" applyAlignment="1">
      <alignment horizontal="center" vertical="center"/>
    </xf>
    <xf numFmtId="2" fontId="3" fillId="0" borderId="0" xfId="3" applyNumberFormat="1" applyFont="1" applyAlignment="1" applyProtection="1">
      <alignment horizontal="center" vertical="center"/>
      <protection locked="0"/>
    </xf>
    <xf numFmtId="4" fontId="3" fillId="0" borderId="0" xfId="3" applyNumberFormat="1" applyFont="1" applyAlignment="1">
      <alignment horizontal="center" vertical="center"/>
    </xf>
    <xf numFmtId="0" fontId="3" fillId="16" borderId="72" xfId="3" applyFont="1" applyFill="1" applyBorder="1" applyAlignment="1" applyProtection="1">
      <alignment horizontal="center" vertical="center"/>
      <protection locked="0"/>
    </xf>
    <xf numFmtId="0" fontId="4" fillId="0" borderId="78" xfId="3" applyFont="1" applyBorder="1" applyAlignment="1">
      <alignment horizontal="left" vertical="center"/>
    </xf>
    <xf numFmtId="2" fontId="3" fillId="0" borderId="76" xfId="3" applyNumberFormat="1" applyFont="1" applyBorder="1" applyAlignment="1">
      <alignment horizontal="center" vertical="center"/>
    </xf>
    <xf numFmtId="0" fontId="4" fillId="3" borderId="72" xfId="8" applyFont="1" applyFill="1" applyBorder="1" applyAlignment="1" applyProtection="1">
      <alignment horizontal="left" vertical="center"/>
      <protection hidden="1"/>
    </xf>
    <xf numFmtId="0" fontId="4" fillId="3" borderId="70" xfId="8" applyFont="1" applyFill="1" applyBorder="1" applyAlignment="1" applyProtection="1">
      <alignment horizontal="left" vertical="center"/>
      <protection hidden="1"/>
    </xf>
    <xf numFmtId="0" fontId="4" fillId="3" borderId="77" xfId="8" applyFont="1" applyFill="1" applyBorder="1" applyAlignment="1" applyProtection="1">
      <alignment horizontal="left" vertical="center"/>
      <protection hidden="1"/>
    </xf>
    <xf numFmtId="0" fontId="58" fillId="0" borderId="70" xfId="3" applyFont="1" applyBorder="1" applyAlignment="1">
      <alignment horizontal="left" vertical="center"/>
    </xf>
    <xf numFmtId="0" fontId="58" fillId="0" borderId="71" xfId="3" applyFont="1" applyBorder="1" applyAlignment="1">
      <alignment horizontal="left" vertical="center"/>
    </xf>
    <xf numFmtId="0" fontId="3" fillId="16" borderId="70" xfId="3" applyFont="1" applyFill="1" applyBorder="1" applyAlignment="1" applyProtection="1">
      <alignment horizontal="center" vertical="center"/>
      <protection locked="0"/>
    </xf>
    <xf numFmtId="2" fontId="3" fillId="16" borderId="70" xfId="3" applyNumberFormat="1" applyFont="1" applyFill="1" applyBorder="1" applyAlignment="1" applyProtection="1">
      <alignment horizontal="center" vertical="center"/>
      <protection locked="0"/>
    </xf>
    <xf numFmtId="0" fontId="4" fillId="17" borderId="72" xfId="3" applyFont="1" applyFill="1" applyBorder="1" applyAlignment="1" applyProtection="1">
      <alignment horizontal="center" vertical="center"/>
      <protection locked="0"/>
    </xf>
    <xf numFmtId="0" fontId="3" fillId="4" borderId="72" xfId="3" applyFont="1" applyFill="1" applyBorder="1" applyAlignment="1">
      <alignment horizontal="center" vertical="center"/>
    </xf>
    <xf numFmtId="0" fontId="0" fillId="0" borderId="79" xfId="0" applyBorder="1" applyAlignment="1">
      <alignment horizontal="center"/>
    </xf>
    <xf numFmtId="0" fontId="0" fillId="0" borderId="79" xfId="0" applyBorder="1"/>
    <xf numFmtId="2" fontId="0" fillId="0" borderId="79" xfId="0" applyNumberFormat="1" applyBorder="1" applyAlignment="1">
      <alignment horizontal="center"/>
    </xf>
    <xf numFmtId="0" fontId="0" fillId="0" borderId="79" xfId="0" applyBorder="1" applyAlignment="1">
      <alignment horizontal="center" vertical="center"/>
    </xf>
    <xf numFmtId="2" fontId="0" fillId="0" borderId="79" xfId="0" applyNumberFormat="1" applyBorder="1" applyAlignment="1">
      <alignment horizontal="center" vertical="center"/>
    </xf>
    <xf numFmtId="0" fontId="3" fillId="7" borderId="80" xfId="0" applyFont="1" applyFill="1" applyBorder="1" applyAlignment="1">
      <alignment horizontal="center" vertical="center"/>
    </xf>
    <xf numFmtId="0" fontId="3" fillId="7" borderId="80" xfId="0" applyFont="1" applyFill="1" applyBorder="1" applyAlignment="1">
      <alignment horizontal="center" vertical="center" wrapText="1"/>
    </xf>
    <xf numFmtId="2" fontId="3" fillId="7" borderId="80" xfId="0" applyNumberFormat="1" applyFont="1" applyFill="1" applyBorder="1" applyAlignment="1">
      <alignment horizontal="center" vertical="center" wrapText="1"/>
    </xf>
    <xf numFmtId="0" fontId="0" fillId="0" borderId="83" xfId="0" applyBorder="1"/>
    <xf numFmtId="0" fontId="0" fillId="0" borderId="84" xfId="0" applyBorder="1"/>
    <xf numFmtId="0" fontId="12" fillId="16" borderId="0" xfId="0" applyFont="1" applyFill="1"/>
    <xf numFmtId="1" fontId="12" fillId="16" borderId="0" xfId="0" applyNumberFormat="1" applyFont="1" applyFill="1"/>
    <xf numFmtId="2" fontId="12" fillId="16" borderId="61" xfId="0" applyNumberFormat="1" applyFont="1" applyFill="1" applyBorder="1" applyAlignment="1">
      <alignment horizontal="right"/>
    </xf>
    <xf numFmtId="2" fontId="12" fillId="16" borderId="15" xfId="0" applyNumberFormat="1" applyFont="1" applyFill="1" applyBorder="1" applyAlignment="1">
      <alignment horizontal="right"/>
    </xf>
    <xf numFmtId="0" fontId="12" fillId="16" borderId="15" xfId="0" applyFont="1" applyFill="1" applyBorder="1" applyAlignment="1">
      <alignment horizontal="right"/>
    </xf>
    <xf numFmtId="165" fontId="12" fillId="16" borderId="61" xfId="0" applyNumberFormat="1" applyFont="1" applyFill="1" applyBorder="1" applyAlignment="1">
      <alignment horizontal="right"/>
    </xf>
    <xf numFmtId="165" fontId="12" fillId="16" borderId="15" xfId="0" applyNumberFormat="1" applyFont="1" applyFill="1" applyBorder="1" applyAlignment="1">
      <alignment horizontal="right"/>
    </xf>
    <xf numFmtId="165" fontId="12" fillId="16" borderId="15" xfId="0" applyNumberFormat="1" applyFont="1" applyFill="1" applyBorder="1"/>
    <xf numFmtId="0" fontId="39" fillId="16" borderId="15" xfId="0" applyFont="1" applyFill="1" applyBorder="1" applyAlignment="1">
      <alignment horizontal="center"/>
    </xf>
    <xf numFmtId="1" fontId="12" fillId="16" borderId="12" xfId="0" applyNumberFormat="1" applyFont="1" applyFill="1" applyBorder="1"/>
    <xf numFmtId="2" fontId="12" fillId="16" borderId="63" xfId="0" applyNumberFormat="1" applyFont="1" applyFill="1" applyBorder="1"/>
    <xf numFmtId="0" fontId="12" fillId="16" borderId="66" xfId="0" applyFont="1" applyFill="1" applyBorder="1" applyAlignment="1">
      <alignment horizontal="center"/>
    </xf>
    <xf numFmtId="0" fontId="12" fillId="16" borderId="15" xfId="0" applyFont="1" applyFill="1" applyBorder="1" applyAlignment="1">
      <alignment horizontal="center"/>
    </xf>
    <xf numFmtId="0" fontId="12" fillId="16" borderId="67" xfId="0" applyFont="1" applyFill="1" applyBorder="1" applyAlignment="1">
      <alignment horizontal="center"/>
    </xf>
    <xf numFmtId="0" fontId="12" fillId="16" borderId="65" xfId="0" applyFont="1" applyFill="1" applyBorder="1" applyAlignment="1">
      <alignment horizontal="center"/>
    </xf>
    <xf numFmtId="0" fontId="39" fillId="16" borderId="31" xfId="0" applyFont="1" applyFill="1" applyBorder="1" applyAlignment="1">
      <alignment horizontal="center"/>
    </xf>
    <xf numFmtId="2" fontId="39" fillId="16" borderId="0" xfId="0" applyNumberFormat="1" applyFont="1" applyFill="1" applyAlignment="1">
      <alignment horizontal="center"/>
    </xf>
    <xf numFmtId="0" fontId="39" fillId="16" borderId="35" xfId="0" applyFont="1" applyFill="1" applyBorder="1" applyAlignment="1">
      <alignment horizontal="center"/>
    </xf>
    <xf numFmtId="0" fontId="4" fillId="16" borderId="0" xfId="0" applyFont="1" applyFill="1"/>
    <xf numFmtId="0" fontId="12" fillId="16" borderId="0" xfId="0" applyFont="1" applyFill="1" applyAlignment="1">
      <alignment horizontal="center" vertical="center"/>
    </xf>
    <xf numFmtId="3" fontId="12" fillId="16" borderId="0" xfId="0" applyNumberFormat="1" applyFont="1" applyFill="1" applyAlignment="1">
      <alignment horizontal="center" vertical="center"/>
    </xf>
    <xf numFmtId="0" fontId="12" fillId="16" borderId="63" xfId="0" applyFont="1" applyFill="1" applyBorder="1" applyAlignment="1">
      <alignment horizontal="center"/>
    </xf>
    <xf numFmtId="0" fontId="45" fillId="16" borderId="63" xfId="0" applyFont="1" applyFill="1" applyBorder="1"/>
    <xf numFmtId="0" fontId="0" fillId="16" borderId="15" xfId="0" applyFill="1" applyBorder="1"/>
    <xf numFmtId="0" fontId="12" fillId="16" borderId="36" xfId="0" applyFont="1" applyFill="1" applyBorder="1" applyAlignment="1">
      <alignment horizontal="center" vertical="center"/>
    </xf>
    <xf numFmtId="2" fontId="17" fillId="4" borderId="0" xfId="0" applyNumberFormat="1" applyFont="1" applyFill="1" applyAlignment="1">
      <alignment horizontal="left" vertical="center" wrapText="1"/>
    </xf>
    <xf numFmtId="2" fontId="36" fillId="0" borderId="76" xfId="3" applyNumberFormat="1" applyFont="1" applyBorder="1" applyAlignment="1">
      <alignment horizontal="center" vertical="center"/>
    </xf>
    <xf numFmtId="2" fontId="36" fillId="0" borderId="0" xfId="3" applyNumberFormat="1" applyFont="1" applyAlignment="1">
      <alignment horizontal="center" vertical="center"/>
    </xf>
    <xf numFmtId="0" fontId="61" fillId="0" borderId="0" xfId="3" applyFont="1" applyAlignment="1">
      <alignment wrapText="1"/>
    </xf>
    <xf numFmtId="0" fontId="12" fillId="6" borderId="15" xfId="0" applyFont="1" applyFill="1" applyBorder="1"/>
    <xf numFmtId="2" fontId="39" fillId="6" borderId="65" xfId="0" applyNumberFormat="1" applyFont="1" applyFill="1" applyBorder="1" applyAlignment="1">
      <alignment horizontal="center"/>
    </xf>
    <xf numFmtId="2" fontId="39" fillId="6" borderId="6" xfId="0" applyNumberFormat="1" applyFont="1" applyFill="1" applyBorder="1" applyAlignment="1">
      <alignment horizontal="center"/>
    </xf>
    <xf numFmtId="165" fontId="39" fillId="6" borderId="6" xfId="0" applyNumberFormat="1" applyFont="1" applyFill="1" applyBorder="1" applyAlignment="1">
      <alignment horizontal="center"/>
    </xf>
    <xf numFmtId="0" fontId="9" fillId="0" borderId="0" xfId="0" applyFont="1"/>
    <xf numFmtId="0" fontId="3" fillId="18" borderId="0" xfId="0" applyFont="1" applyFill="1"/>
    <xf numFmtId="0" fontId="0" fillId="19" borderId="0" xfId="0" applyFill="1"/>
    <xf numFmtId="0" fontId="0" fillId="20" borderId="0" xfId="0" applyFill="1"/>
    <xf numFmtId="0" fontId="0" fillId="0" borderId="0" xfId="0" applyAlignment="1">
      <alignment horizontal="center"/>
    </xf>
    <xf numFmtId="0" fontId="4" fillId="17" borderId="0" xfId="0" applyFont="1" applyFill="1"/>
    <xf numFmtId="0" fontId="0" fillId="17" borderId="0" xfId="0" applyFill="1"/>
    <xf numFmtId="2" fontId="3" fillId="7" borderId="81" xfId="0" applyNumberFormat="1" applyFont="1" applyFill="1" applyBorder="1" applyAlignment="1">
      <alignment horizontal="left" vertical="center"/>
    </xf>
    <xf numFmtId="2" fontId="3" fillId="7" borderId="82" xfId="0" applyNumberFormat="1" applyFont="1" applyFill="1" applyBorder="1" applyAlignment="1">
      <alignment horizontal="left" vertical="center"/>
    </xf>
    <xf numFmtId="0" fontId="3" fillId="18" borderId="0" xfId="0" applyFont="1" applyFill="1" applyAlignment="1">
      <alignment horizontal="center" vertical="center"/>
    </xf>
    <xf numFmtId="0" fontId="4" fillId="0" borderId="0" xfId="3" applyFont="1" applyAlignment="1">
      <alignment horizontal="center" vertical="top"/>
    </xf>
    <xf numFmtId="0" fontId="61" fillId="0" borderId="0" xfId="3" applyFont="1" applyAlignment="1">
      <alignment horizontal="center" vertical="top"/>
    </xf>
    <xf numFmtId="0" fontId="63" fillId="0" borderId="0" xfId="0" applyFont="1"/>
    <xf numFmtId="0" fontId="64" fillId="0" borderId="0" xfId="0" applyFont="1"/>
    <xf numFmtId="14" fontId="4" fillId="3" borderId="70" xfId="8" applyNumberFormat="1" applyFont="1" applyFill="1" applyBorder="1" applyAlignment="1" applyProtection="1">
      <alignment horizontal="left" vertical="center"/>
      <protection hidden="1"/>
    </xf>
    <xf numFmtId="0" fontId="19" fillId="0" borderId="86" xfId="3" applyFont="1" applyBorder="1"/>
    <xf numFmtId="0" fontId="19" fillId="0" borderId="87" xfId="3" applyFont="1" applyBorder="1"/>
    <xf numFmtId="165" fontId="4" fillId="3" borderId="70" xfId="8" applyNumberFormat="1" applyFont="1" applyFill="1" applyBorder="1" applyAlignment="1" applyProtection="1">
      <alignment horizontal="left" vertical="center"/>
      <protection hidden="1"/>
    </xf>
    <xf numFmtId="14" fontId="65" fillId="0" borderId="0" xfId="0" applyNumberFormat="1" applyFont="1" applyAlignment="1">
      <alignment horizontal="center" vertical="center" wrapText="1"/>
    </xf>
    <xf numFmtId="0" fontId="65" fillId="0" borderId="0" xfId="0" applyFont="1" applyAlignment="1">
      <alignment horizontal="center" vertical="center" wrapText="1"/>
    </xf>
    <xf numFmtId="0" fontId="0" fillId="19" borderId="0" xfId="0" applyFill="1" applyAlignment="1">
      <alignment wrapText="1"/>
    </xf>
    <xf numFmtId="0" fontId="3" fillId="0" borderId="0" xfId="0" applyFont="1" applyAlignment="1">
      <alignment vertical="center"/>
    </xf>
    <xf numFmtId="0" fontId="3" fillId="0" borderId="0" xfId="0" applyFont="1" applyAlignment="1">
      <alignment horizontal="center" vertical="center"/>
    </xf>
    <xf numFmtId="0" fontId="10" fillId="0" borderId="0" xfId="0" applyFont="1" applyAlignment="1">
      <alignment horizontal="center" vertical="center"/>
    </xf>
    <xf numFmtId="0" fontId="8" fillId="0" borderId="0" xfId="0" applyFont="1" applyAlignment="1">
      <alignment horizontal="center" vertical="center"/>
    </xf>
    <xf numFmtId="0" fontId="4" fillId="0" borderId="0" xfId="0" applyFont="1" applyAlignment="1">
      <alignment horizontal="center" vertical="center"/>
    </xf>
    <xf numFmtId="1" fontId="5" fillId="0" borderId="0" xfId="0" applyNumberFormat="1" applyFont="1" applyAlignment="1" applyProtection="1">
      <alignment horizontal="center" vertical="center"/>
      <protection locked="0"/>
    </xf>
    <xf numFmtId="2" fontId="5" fillId="0" borderId="0" xfId="0" applyNumberFormat="1" applyFont="1" applyAlignment="1" applyProtection="1">
      <alignment horizontal="center" vertical="center"/>
      <protection locked="0"/>
    </xf>
    <xf numFmtId="166" fontId="4" fillId="0" borderId="0" xfId="0" applyNumberFormat="1" applyFon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57" fillId="0" borderId="0" xfId="0" applyFont="1"/>
    <xf numFmtId="0" fontId="57" fillId="0" borderId="0" xfId="0" applyFont="1" applyAlignment="1" applyProtection="1">
      <alignment horizontal="left"/>
      <protection hidden="1"/>
    </xf>
    <xf numFmtId="0" fontId="4" fillId="0" borderId="0" xfId="0" applyFont="1" applyAlignment="1">
      <alignment wrapText="1"/>
    </xf>
    <xf numFmtId="0" fontId="0" fillId="0" borderId="0" xfId="0" applyAlignment="1">
      <alignment wrapText="1"/>
    </xf>
    <xf numFmtId="0" fontId="0" fillId="0" borderId="0" xfId="0" applyAlignment="1">
      <alignment vertical="top" wrapText="1"/>
    </xf>
    <xf numFmtId="0" fontId="31" fillId="21" borderId="15" xfId="0" applyFont="1" applyFill="1" applyBorder="1" applyAlignment="1" applyProtection="1">
      <alignment horizontal="left" vertical="center"/>
      <protection hidden="1"/>
    </xf>
    <xf numFmtId="0" fontId="25" fillId="0" borderId="0" xfId="5" applyFont="1" applyAlignment="1">
      <alignment horizontal="left"/>
    </xf>
    <xf numFmtId="0" fontId="66" fillId="0" borderId="0" xfId="0" applyFont="1"/>
    <xf numFmtId="0" fontId="4" fillId="0" borderId="0" xfId="3" applyFont="1"/>
    <xf numFmtId="0" fontId="3" fillId="0" borderId="0" xfId="0" applyFont="1" applyAlignment="1">
      <alignment horizontal="center"/>
    </xf>
    <xf numFmtId="0" fontId="55" fillId="0" borderId="0" xfId="3" applyFont="1" applyAlignment="1">
      <alignment horizontal="center" vertical="center"/>
    </xf>
    <xf numFmtId="0" fontId="69" fillId="3" borderId="70" xfId="8" applyFont="1" applyFill="1" applyBorder="1" applyAlignment="1" applyProtection="1">
      <alignment horizontal="left" vertical="center"/>
      <protection hidden="1"/>
    </xf>
    <xf numFmtId="2" fontId="3" fillId="0" borderId="0" xfId="0" applyNumberFormat="1" applyFont="1" applyAlignment="1">
      <alignment horizontal="center" vertical="center"/>
    </xf>
    <xf numFmtId="2" fontId="4" fillId="0" borderId="0" xfId="0" applyNumberFormat="1" applyFont="1" applyAlignment="1">
      <alignment horizontal="center" vertical="center"/>
    </xf>
    <xf numFmtId="0" fontId="3" fillId="0" borderId="0" xfId="0" applyFont="1" applyAlignment="1">
      <alignment horizontal="left"/>
    </xf>
    <xf numFmtId="0" fontId="3" fillId="17" borderId="0" xfId="0" applyFont="1" applyFill="1" applyAlignment="1" applyProtection="1">
      <alignment horizontal="left"/>
      <protection locked="0"/>
    </xf>
    <xf numFmtId="0" fontId="67" fillId="0" borderId="0" xfId="0" applyFont="1" applyAlignment="1">
      <alignment horizontal="left" wrapText="1"/>
    </xf>
    <xf numFmtId="0" fontId="3" fillId="0" borderId="0" xfId="0" applyFont="1" applyAlignment="1">
      <alignment horizontal="left" wrapText="1"/>
    </xf>
    <xf numFmtId="0" fontId="70" fillId="6" borderId="70" xfId="3" applyFont="1" applyFill="1" applyBorder="1" applyAlignment="1" applyProtection="1">
      <alignment horizontal="center" vertical="center"/>
      <protection locked="0"/>
    </xf>
    <xf numFmtId="0" fontId="70" fillId="6" borderId="71" xfId="3" applyFont="1" applyFill="1" applyBorder="1" applyAlignment="1" applyProtection="1">
      <alignment horizontal="center" vertical="center"/>
      <protection locked="0"/>
    </xf>
    <xf numFmtId="0" fontId="14" fillId="0" borderId="0" xfId="3" applyFont="1" applyAlignment="1">
      <alignment horizontal="center"/>
    </xf>
    <xf numFmtId="0" fontId="3" fillId="0" borderId="0" xfId="3" applyFont="1" applyAlignment="1">
      <alignment horizontal="center"/>
    </xf>
    <xf numFmtId="0" fontId="4" fillId="3" borderId="70" xfId="3" applyFont="1" applyFill="1" applyBorder="1" applyAlignment="1">
      <alignment horizontal="left" vertical="center"/>
    </xf>
    <xf numFmtId="0" fontId="4" fillId="3" borderId="71" xfId="3" applyFont="1" applyFill="1" applyBorder="1" applyAlignment="1">
      <alignment horizontal="left" vertical="center"/>
    </xf>
    <xf numFmtId="0" fontId="58" fillId="3" borderId="71" xfId="3" applyFont="1" applyFill="1" applyBorder="1" applyAlignment="1">
      <alignment horizontal="left" vertical="center"/>
    </xf>
    <xf numFmtId="0" fontId="62" fillId="17" borderId="88" xfId="0" applyFont="1" applyFill="1" applyBorder="1" applyAlignment="1" applyProtection="1">
      <alignment horizontal="center" vertical="center"/>
      <protection locked="0" hidden="1"/>
    </xf>
    <xf numFmtId="0" fontId="57" fillId="0" borderId="89" xfId="0" applyFont="1" applyBorder="1" applyAlignment="1" applyProtection="1">
      <alignment horizontal="center" vertical="center"/>
      <protection locked="0" hidden="1"/>
    </xf>
    <xf numFmtId="0" fontId="57" fillId="0" borderId="0" xfId="0" applyFont="1" applyAlignment="1" applyProtection="1">
      <alignment horizontal="left" wrapText="1"/>
      <protection hidden="1"/>
    </xf>
    <xf numFmtId="0" fontId="57" fillId="0" borderId="69" xfId="0" applyFont="1" applyBorder="1" applyAlignment="1" applyProtection="1">
      <alignment horizontal="left" wrapText="1"/>
      <protection hidden="1"/>
    </xf>
    <xf numFmtId="0" fontId="36" fillId="0" borderId="73" xfId="3" applyFont="1" applyBorder="1" applyAlignment="1" applyProtection="1">
      <alignment horizontal="center" vertical="center" wrapText="1"/>
      <protection locked="0"/>
    </xf>
    <xf numFmtId="0" fontId="3" fillId="0" borderId="74" xfId="3" applyFont="1" applyBorder="1" applyAlignment="1" applyProtection="1">
      <alignment horizontal="center" vertical="center"/>
      <protection locked="0"/>
    </xf>
    <xf numFmtId="10" fontId="3" fillId="0" borderId="75" xfId="3" applyNumberFormat="1" applyFont="1" applyBorder="1" applyAlignment="1" applyProtection="1">
      <alignment horizontal="center" vertical="center"/>
      <protection locked="0"/>
    </xf>
    <xf numFmtId="0" fontId="61" fillId="0" borderId="73" xfId="3" applyFont="1" applyBorder="1" applyAlignment="1" applyProtection="1">
      <alignment horizontal="center" vertical="center"/>
      <protection locked="0"/>
    </xf>
    <xf numFmtId="0" fontId="19" fillId="0" borderId="74" xfId="3" applyFont="1" applyBorder="1" applyAlignment="1" applyProtection="1">
      <alignment horizontal="center" vertical="center"/>
      <protection locked="0"/>
    </xf>
    <xf numFmtId="0" fontId="19" fillId="0" borderId="75" xfId="3" applyFont="1" applyBorder="1" applyAlignment="1" applyProtection="1">
      <alignment horizontal="center" vertical="center"/>
      <protection locked="0"/>
    </xf>
    <xf numFmtId="0" fontId="19" fillId="0" borderId="73" xfId="3" applyFont="1" applyBorder="1" applyAlignment="1" applyProtection="1">
      <alignment horizontal="center" vertical="center"/>
      <protection locked="0"/>
    </xf>
    <xf numFmtId="0" fontId="19" fillId="17" borderId="90" xfId="3" applyFont="1" applyFill="1" applyBorder="1" applyAlignment="1" applyProtection="1">
      <alignment horizontal="left"/>
      <protection locked="0"/>
    </xf>
    <xf numFmtId="0" fontId="4" fillId="0" borderId="0" xfId="3" applyFont="1" applyAlignment="1">
      <alignment horizontal="center" vertical="top"/>
    </xf>
    <xf numFmtId="0" fontId="61" fillId="0" borderId="0" xfId="3" applyFont="1" applyAlignment="1">
      <alignment horizontal="center" vertical="top"/>
    </xf>
    <xf numFmtId="0" fontId="19" fillId="0" borderId="85" xfId="3" applyFont="1" applyBorder="1" applyAlignment="1">
      <alignment horizontal="center"/>
    </xf>
    <xf numFmtId="0" fontId="68" fillId="6" borderId="0" xfId="3" applyFont="1" applyFill="1" applyAlignment="1">
      <alignment horizontal="center" vertical="center" wrapText="1"/>
    </xf>
    <xf numFmtId="0" fontId="61" fillId="6" borderId="0" xfId="3" applyFont="1" applyFill="1" applyAlignment="1">
      <alignment horizontal="center" vertical="center" wrapText="1"/>
    </xf>
    <xf numFmtId="0" fontId="19" fillId="6" borderId="0" xfId="3" applyFont="1" applyFill="1" applyAlignment="1">
      <alignment horizontal="center" wrapText="1"/>
    </xf>
    <xf numFmtId="0" fontId="0" fillId="6" borderId="0" xfId="0" applyFill="1" applyAlignment="1">
      <alignment vertical="top" wrapText="1"/>
    </xf>
    <xf numFmtId="0" fontId="60" fillId="6" borderId="0" xfId="3" applyFont="1" applyFill="1" applyAlignment="1">
      <alignment horizontal="center" vertical="center" wrapText="1"/>
    </xf>
    <xf numFmtId="0" fontId="68" fillId="6" borderId="0" xfId="3" applyFont="1" applyFill="1" applyAlignment="1">
      <alignment horizontal="center" wrapText="1"/>
    </xf>
    <xf numFmtId="0" fontId="57" fillId="0" borderId="0" xfId="0" applyFont="1" applyAlignment="1">
      <alignment horizontal="left"/>
    </xf>
    <xf numFmtId="0" fontId="0" fillId="0" borderId="0" xfId="0" applyAlignment="1">
      <alignment horizontal="left"/>
    </xf>
    <xf numFmtId="0" fontId="4" fillId="6" borderId="70" xfId="3" applyFont="1" applyFill="1" applyBorder="1" applyAlignment="1" applyProtection="1">
      <alignment horizontal="center" vertical="center"/>
      <protection locked="0"/>
    </xf>
    <xf numFmtId="0" fontId="4" fillId="6" borderId="71" xfId="3" applyFont="1" applyFill="1" applyBorder="1" applyAlignment="1" applyProtection="1">
      <alignment horizontal="center" vertical="center"/>
      <protection locked="0"/>
    </xf>
    <xf numFmtId="0" fontId="68" fillId="6" borderId="70" xfId="3" applyFont="1" applyFill="1" applyBorder="1" applyAlignment="1" applyProtection="1">
      <alignment horizontal="center" vertical="center"/>
      <protection locked="0"/>
    </xf>
    <xf numFmtId="0" fontId="61" fillId="6" borderId="70" xfId="3" applyFont="1" applyFill="1" applyBorder="1" applyAlignment="1" applyProtection="1">
      <alignment horizontal="center" vertical="center"/>
      <protection locked="0"/>
    </xf>
    <xf numFmtId="0" fontId="38" fillId="5" borderId="53" xfId="0" applyFont="1" applyFill="1" applyBorder="1" applyAlignment="1">
      <alignment horizontal="center" wrapText="1"/>
    </xf>
    <xf numFmtId="0" fontId="38" fillId="5" borderId="54" xfId="0" applyFont="1" applyFill="1" applyBorder="1" applyAlignment="1">
      <alignment horizontal="center" wrapText="1"/>
    </xf>
    <xf numFmtId="0" fontId="38" fillId="5" borderId="55" xfId="0" applyFont="1" applyFill="1" applyBorder="1" applyAlignment="1">
      <alignment horizontal="center" wrapText="1"/>
    </xf>
    <xf numFmtId="0" fontId="38" fillId="5" borderId="56" xfId="0" applyFont="1" applyFill="1" applyBorder="1" applyAlignment="1">
      <alignment horizontal="center" vertical="center"/>
    </xf>
    <xf numFmtId="0" fontId="38" fillId="5" borderId="19" xfId="0" applyFont="1" applyFill="1" applyBorder="1" applyAlignment="1">
      <alignment horizontal="center" vertical="center"/>
    </xf>
    <xf numFmtId="0" fontId="38" fillId="5" borderId="57" xfId="0" applyFont="1" applyFill="1" applyBorder="1" applyAlignment="1">
      <alignment horizontal="center" vertical="center"/>
    </xf>
    <xf numFmtId="0" fontId="38" fillId="5" borderId="60" xfId="0" applyFont="1" applyFill="1" applyBorder="1" applyAlignment="1">
      <alignment horizontal="center" vertical="center"/>
    </xf>
    <xf numFmtId="0" fontId="38" fillId="5" borderId="61" xfId="0" applyFont="1" applyFill="1" applyBorder="1" applyAlignment="1">
      <alignment horizontal="center" vertical="center"/>
    </xf>
    <xf numFmtId="0" fontId="38" fillId="5" borderId="23" xfId="0" applyFont="1" applyFill="1" applyBorder="1" applyAlignment="1">
      <alignment horizontal="center" vertical="center"/>
    </xf>
    <xf numFmtId="0" fontId="38" fillId="5" borderId="17" xfId="0" applyFont="1" applyFill="1" applyBorder="1" applyAlignment="1">
      <alignment horizontal="center" vertical="center"/>
    </xf>
    <xf numFmtId="0" fontId="38" fillId="5" borderId="18" xfId="0" applyFont="1" applyFill="1" applyBorder="1" applyAlignment="1">
      <alignment horizontal="center" vertical="center"/>
    </xf>
    <xf numFmtId="0" fontId="38" fillId="5" borderId="20" xfId="0" applyFont="1" applyFill="1" applyBorder="1" applyAlignment="1">
      <alignment horizontal="center" vertical="center"/>
    </xf>
    <xf numFmtId="0" fontId="38" fillId="5" borderId="13" xfId="0" applyFont="1" applyFill="1" applyBorder="1" applyAlignment="1">
      <alignment horizontal="center" vertical="center"/>
    </xf>
    <xf numFmtId="0" fontId="38" fillId="5" borderId="12" xfId="0" applyFont="1" applyFill="1" applyBorder="1" applyAlignment="1">
      <alignment horizontal="center" vertical="center"/>
    </xf>
    <xf numFmtId="0" fontId="38" fillId="5" borderId="26" xfId="0" applyFont="1" applyFill="1" applyBorder="1" applyAlignment="1">
      <alignment horizontal="center" vertical="center"/>
    </xf>
    <xf numFmtId="0" fontId="56" fillId="0" borderId="0" xfId="0" applyFont="1" applyAlignment="1" applyProtection="1">
      <alignment horizontal="center" vertical="center"/>
      <protection hidden="1"/>
    </xf>
    <xf numFmtId="0" fontId="40" fillId="5" borderId="17" xfId="0" applyFont="1" applyFill="1" applyBorder="1" applyAlignment="1">
      <alignment horizontal="center"/>
    </xf>
    <xf numFmtId="0" fontId="40" fillId="5" borderId="18" xfId="0" applyFont="1" applyFill="1" applyBorder="1" applyAlignment="1">
      <alignment horizontal="center"/>
    </xf>
    <xf numFmtId="0" fontId="40" fillId="5" borderId="20" xfId="0" applyFont="1" applyFill="1" applyBorder="1" applyAlignment="1">
      <alignment horizontal="center"/>
    </xf>
    <xf numFmtId="0" fontId="12" fillId="0" borderId="10" xfId="0" applyFont="1" applyBorder="1" applyAlignment="1">
      <alignment horizontal="left"/>
    </xf>
    <xf numFmtId="0" fontId="12" fillId="0" borderId="59" xfId="0" applyFont="1" applyBorder="1" applyAlignment="1">
      <alignment horizontal="left"/>
    </xf>
    <xf numFmtId="0" fontId="38" fillId="5" borderId="53" xfId="0" applyFont="1" applyFill="1" applyBorder="1" applyAlignment="1">
      <alignment horizontal="center"/>
    </xf>
    <xf numFmtId="0" fontId="38" fillId="5" borderId="54" xfId="0" applyFont="1" applyFill="1" applyBorder="1" applyAlignment="1">
      <alignment horizontal="center"/>
    </xf>
    <xf numFmtId="0" fontId="38" fillId="5" borderId="55" xfId="0" applyFont="1" applyFill="1" applyBorder="1" applyAlignment="1">
      <alignment horizontal="center"/>
    </xf>
    <xf numFmtId="0" fontId="38" fillId="5" borderId="58" xfId="0" applyFont="1" applyFill="1" applyBorder="1" applyAlignment="1">
      <alignment horizontal="center"/>
    </xf>
    <xf numFmtId="0" fontId="38" fillId="5" borderId="0" xfId="0" applyFont="1" applyFill="1" applyAlignment="1">
      <alignment horizontal="center"/>
    </xf>
    <xf numFmtId="0" fontId="38" fillId="5" borderId="59" xfId="0" applyFont="1" applyFill="1" applyBorder="1" applyAlignment="1">
      <alignment horizontal="center"/>
    </xf>
    <xf numFmtId="0" fontId="12" fillId="0" borderId="0" xfId="0" applyFont="1" applyAlignment="1">
      <alignment horizontal="left"/>
    </xf>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8" fillId="5" borderId="17" xfId="0" quotePrefix="1" applyFont="1" applyFill="1" applyBorder="1" applyAlignment="1">
      <alignment horizontal="center"/>
    </xf>
    <xf numFmtId="0" fontId="38" fillId="5" borderId="18" xfId="0" quotePrefix="1" applyFont="1" applyFill="1" applyBorder="1" applyAlignment="1">
      <alignment horizontal="center"/>
    </xf>
    <xf numFmtId="0" fontId="38" fillId="5" borderId="20" xfId="0" quotePrefix="1" applyFont="1" applyFill="1" applyBorder="1" applyAlignment="1">
      <alignment horizontal="center"/>
    </xf>
    <xf numFmtId="0" fontId="47" fillId="5" borderId="17" xfId="0" applyFont="1" applyFill="1" applyBorder="1" applyAlignment="1">
      <alignment horizontal="center"/>
    </xf>
    <xf numFmtId="0" fontId="47" fillId="5" borderId="18" xfId="0" applyFont="1" applyFill="1" applyBorder="1" applyAlignment="1">
      <alignment horizontal="center"/>
    </xf>
    <xf numFmtId="0" fontId="47" fillId="5" borderId="20" xfId="0" applyFont="1" applyFill="1" applyBorder="1" applyAlignment="1">
      <alignment horizontal="center"/>
    </xf>
    <xf numFmtId="0" fontId="47" fillId="5" borderId="30" xfId="0" applyFont="1" applyFill="1" applyBorder="1" applyAlignment="1">
      <alignment horizontal="center"/>
    </xf>
    <xf numFmtId="0" fontId="47" fillId="5" borderId="31" xfId="0" applyFont="1" applyFill="1" applyBorder="1" applyAlignment="1">
      <alignment horizontal="center"/>
    </xf>
    <xf numFmtId="0" fontId="47" fillId="5" borderId="32" xfId="0" applyFont="1" applyFill="1" applyBorder="1" applyAlignment="1">
      <alignment horizontal="center"/>
    </xf>
    <xf numFmtId="0" fontId="38" fillId="5" borderId="17" xfId="0" applyFont="1" applyFill="1" applyBorder="1" applyAlignment="1">
      <alignment horizontal="center"/>
    </xf>
    <xf numFmtId="0" fontId="38" fillId="5" borderId="18" xfId="0" applyFont="1" applyFill="1" applyBorder="1" applyAlignment="1">
      <alignment horizontal="center"/>
    </xf>
    <xf numFmtId="0" fontId="38" fillId="5" borderId="20" xfId="0" applyFont="1" applyFill="1" applyBorder="1" applyAlignment="1">
      <alignment horizontal="center"/>
    </xf>
    <xf numFmtId="0" fontId="38" fillId="5" borderId="27" xfId="0" applyFont="1" applyFill="1" applyBorder="1" applyAlignment="1">
      <alignment horizontal="center"/>
    </xf>
    <xf numFmtId="0" fontId="38" fillId="5" borderId="25" xfId="0" applyFont="1" applyFill="1" applyBorder="1" applyAlignment="1">
      <alignment horizontal="center"/>
    </xf>
    <xf numFmtId="0" fontId="44" fillId="5" borderId="0" xfId="0" applyFont="1" applyFill="1" applyAlignment="1">
      <alignment horizontal="center"/>
    </xf>
    <xf numFmtId="0" fontId="47" fillId="5" borderId="1" xfId="0" applyFont="1" applyFill="1" applyBorder="1" applyAlignment="1">
      <alignment horizontal="center"/>
    </xf>
    <xf numFmtId="0" fontId="47" fillId="5" borderId="2" xfId="0" applyFont="1" applyFill="1" applyBorder="1" applyAlignment="1">
      <alignment horizontal="center"/>
    </xf>
    <xf numFmtId="0" fontId="47" fillId="5" borderId="4" xfId="0" applyFont="1" applyFill="1" applyBorder="1" applyAlignment="1">
      <alignment horizontal="center"/>
    </xf>
    <xf numFmtId="0" fontId="12" fillId="0" borderId="37" xfId="6" applyFont="1" applyBorder="1" applyAlignment="1">
      <alignment horizontal="center" wrapText="1"/>
    </xf>
    <xf numFmtId="0" fontId="12" fillId="0" borderId="38" xfId="6" applyFont="1" applyBorder="1" applyAlignment="1">
      <alignment horizontal="center" wrapText="1"/>
    </xf>
    <xf numFmtId="0" fontId="12" fillId="9" borderId="39" xfId="6" applyFont="1" applyFill="1" applyBorder="1" applyAlignment="1">
      <alignment horizontal="center" wrapText="1"/>
    </xf>
    <xf numFmtId="0" fontId="12" fillId="9" borderId="40" xfId="6" applyFont="1" applyFill="1" applyBorder="1" applyAlignment="1">
      <alignment horizontal="center" wrapText="1"/>
    </xf>
    <xf numFmtId="0" fontId="12" fillId="9" borderId="41" xfId="6" applyFont="1" applyFill="1" applyBorder="1" applyAlignment="1">
      <alignment horizontal="center" wrapText="1"/>
    </xf>
    <xf numFmtId="173" fontId="9" fillId="0" borderId="0" xfId="0" applyNumberFormat="1" applyFont="1" applyAlignment="1">
      <alignment horizontal="left" vertical="center"/>
    </xf>
    <xf numFmtId="0" fontId="9" fillId="0" borderId="0" xfId="0" applyFont="1" applyAlignment="1">
      <alignment horizontal="center" vertical="center"/>
    </xf>
    <xf numFmtId="0" fontId="11" fillId="0" borderId="0" xfId="1" applyFill="1" applyBorder="1" applyAlignment="1" applyProtection="1">
      <alignment horizontal="left" vertical="center"/>
    </xf>
    <xf numFmtId="0" fontId="31" fillId="6" borderId="0" xfId="3" applyFont="1" applyFill="1" applyAlignment="1">
      <alignment horizontal="center" wrapText="1"/>
    </xf>
  </cellXfs>
  <cellStyles count="9">
    <cellStyle name="Ausgabe_Hellgrau" xfId="8" xr:uid="{4B624E2E-0023-421D-A531-8C29B5AFFE4A}"/>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2EFDA"/>
      <color rgb="FFBFCDDB"/>
      <color rgb="FF156082"/>
      <color rgb="FF437FA3"/>
      <color rgb="FFFF6600"/>
      <color rgb="FFC4C4C4"/>
      <color rgb="FFFFFFCC"/>
      <color rgb="FFFFFF99"/>
      <color rgb="FF0000FF"/>
      <color rgb="FFE44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s://emea.dcv.ms/Hak7qlUrAD" TargetMode="External"/><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2</xdr:row>
      <xdr:rowOff>142875</xdr:rowOff>
    </xdr:from>
    <xdr:to>
      <xdr:col>7</xdr:col>
      <xdr:colOff>412242</xdr:colOff>
      <xdr:row>3</xdr:row>
      <xdr:rowOff>145542</xdr:rowOff>
    </xdr:to>
    <xdr:sp macro="[0]!ShowAboutForm" textlink="">
      <xdr:nvSpPr>
        <xdr:cNvPr id="9" name="Question Mark">
          <a:extLst>
            <a:ext uri="{FF2B5EF4-FFF2-40B4-BE49-F238E27FC236}">
              <a16:creationId xmlns:a16="http://schemas.microsoft.com/office/drawing/2014/main" id="{00000000-0008-0000-0100-000009000000}"/>
            </a:ext>
          </a:extLst>
        </xdr:cNvPr>
        <xdr:cNvSpPr>
          <a:spLocks/>
        </xdr:cNvSpPr>
      </xdr:nvSpPr>
      <xdr:spPr>
        <a:xfrm>
          <a:off x="7486650" y="771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fPrintsWithSheet="0"/>
  </xdr:twoCellAnchor>
  <xdr:twoCellAnchor>
    <xdr:from>
      <xdr:col>1</xdr:col>
      <xdr:colOff>1419225</xdr:colOff>
      <xdr:row>52</xdr:row>
      <xdr:rowOff>28575</xdr:rowOff>
    </xdr:from>
    <xdr:to>
      <xdr:col>4</xdr:col>
      <xdr:colOff>9525</xdr:colOff>
      <xdr:row>60</xdr:row>
      <xdr:rowOff>152400</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00000000-0008-0000-0100-000012000000}"/>
            </a:ext>
          </a:extLst>
        </xdr:cNvPr>
        <xdr:cNvSpPr/>
      </xdr:nvSpPr>
      <xdr:spPr>
        <a:xfrm>
          <a:off x="1743075" y="12963525"/>
          <a:ext cx="3124200" cy="1647825"/>
        </a:xfrm>
        <a:prstGeom prst="rect">
          <a:avLst/>
        </a:prstGeom>
        <a:solidFill>
          <a:schemeClr val="bg1">
            <a:lumMod val="95000"/>
          </a:schemeClr>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latin typeface="Arial" panose="020B0604020202020204" pitchFamily="34" charset="0"/>
              <a:cs typeface="Arial" panose="020B0604020202020204" pitchFamily="34" charset="0"/>
            </a:rPr>
            <a:t>If you would like to leave feedback on your experience of using the tool or if you have any suggestions to help make</a:t>
          </a:r>
          <a:r>
            <a:rPr lang="en-US" sz="1000" baseline="0">
              <a:solidFill>
                <a:schemeClr val="tx1"/>
              </a:solidFill>
              <a:latin typeface="Arial" panose="020B0604020202020204" pitchFamily="34" charset="0"/>
              <a:cs typeface="Arial" panose="020B0604020202020204" pitchFamily="34" charset="0"/>
            </a:rPr>
            <a:t> the tool even more useful, just click on the link below.</a:t>
          </a:r>
        </a:p>
        <a:p>
          <a:pPr algn="ctr"/>
          <a:endParaRPr lang="en-US" sz="1000" baseline="0">
            <a:solidFill>
              <a:schemeClr val="tx1"/>
            </a:solidFill>
            <a:latin typeface="Arial" panose="020B0604020202020204" pitchFamily="34" charset="0"/>
            <a:cs typeface="Arial" panose="020B0604020202020204" pitchFamily="34" charset="0"/>
          </a:endParaRPr>
        </a:p>
        <a:p>
          <a:pPr algn="ctr"/>
          <a:r>
            <a:rPr lang="en-US" sz="1000" u="sng" baseline="0">
              <a:solidFill>
                <a:srgbClr val="000080"/>
              </a:solidFill>
              <a:latin typeface="Arial" panose="020B0604020202020204" pitchFamily="34" charset="0"/>
              <a:cs typeface="Arial" panose="020B0604020202020204" pitchFamily="34" charset="0"/>
            </a:rPr>
            <a:t>Valve Sizing Tool Feedback</a:t>
          </a:r>
        </a:p>
      </xdr:txBody>
    </xdr:sp>
    <xdr:clientData/>
  </xdr:twoCellAnchor>
  <xdr:twoCellAnchor editAs="oneCell">
    <xdr:from>
      <xdr:col>1</xdr:col>
      <xdr:colOff>0</xdr:colOff>
      <xdr:row>16</xdr:row>
      <xdr:rowOff>104775</xdr:rowOff>
    </xdr:from>
    <xdr:to>
      <xdr:col>1</xdr:col>
      <xdr:colOff>1097280</xdr:colOff>
      <xdr:row>18</xdr:row>
      <xdr:rowOff>146685</xdr:rowOff>
    </xdr:to>
    <xdr:sp macro="[0]!Reset" textlink="">
      <xdr:nvSpPr>
        <xdr:cNvPr id="42" name="Reset Button">
          <a:extLst>
            <a:ext uri="{FF2B5EF4-FFF2-40B4-BE49-F238E27FC236}">
              <a16:creationId xmlns:a16="http://schemas.microsoft.com/office/drawing/2014/main" id="{00000000-0008-0000-0100-00002A000000}"/>
            </a:ext>
          </a:extLst>
        </xdr:cNvPr>
        <xdr:cNvSpPr/>
      </xdr:nvSpPr>
      <xdr:spPr>
        <a:xfrm>
          <a:off x="20955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RESET</a:t>
          </a:r>
        </a:p>
      </xdr:txBody>
    </xdr:sp>
    <xdr:clientData/>
  </xdr:twoCellAnchor>
  <xdr:twoCellAnchor editAs="oneCell">
    <xdr:from>
      <xdr:col>1</xdr:col>
      <xdr:colOff>1174750</xdr:colOff>
      <xdr:row>16</xdr:row>
      <xdr:rowOff>104775</xdr:rowOff>
    </xdr:from>
    <xdr:to>
      <xdr:col>2</xdr:col>
      <xdr:colOff>405129</xdr:colOff>
      <xdr:row>18</xdr:row>
      <xdr:rowOff>146685</xdr:rowOff>
    </xdr:to>
    <xdr:sp macro="[0]!CalculateCv" textlink="">
      <xdr:nvSpPr>
        <xdr:cNvPr id="12" name="Calculate Button">
          <a:extLst>
            <a:ext uri="{FF2B5EF4-FFF2-40B4-BE49-F238E27FC236}">
              <a16:creationId xmlns:a16="http://schemas.microsoft.com/office/drawing/2014/main" id="{00000000-0008-0000-0100-00000C000000}"/>
            </a:ext>
          </a:extLst>
        </xdr:cNvPr>
        <xdr:cNvSpPr/>
      </xdr:nvSpPr>
      <xdr:spPr>
        <a:xfrm>
          <a:off x="138430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a:t>
          </a:r>
        </a:p>
      </xdr:txBody>
    </xdr:sp>
    <xdr:clientData/>
  </xdr:twoCellAnchor>
  <xdr:twoCellAnchor>
    <xdr:from>
      <xdr:col>5</xdr:col>
      <xdr:colOff>209550</xdr:colOff>
      <xdr:row>9</xdr:row>
      <xdr:rowOff>133350</xdr:rowOff>
    </xdr:from>
    <xdr:to>
      <xdr:col>8</xdr:col>
      <xdr:colOff>485775</xdr:colOff>
      <xdr:row>17</xdr:row>
      <xdr:rowOff>9525</xdr:rowOff>
    </xdr:to>
    <xdr:sp macro="" textlink="">
      <xdr:nvSpPr>
        <xdr:cNvPr id="36" name="AP_MSG" hidden="1">
          <a:extLst>
            <a:ext uri="{FF2B5EF4-FFF2-40B4-BE49-F238E27FC236}">
              <a16:creationId xmlns:a16="http://schemas.microsoft.com/office/drawing/2014/main" id="{00000000-0008-0000-0100-000024000000}"/>
            </a:ext>
          </a:extLst>
        </xdr:cNvPr>
        <xdr:cNvSpPr/>
      </xdr:nvSpPr>
      <xdr:spPr bwMode="auto">
        <a:xfrm>
          <a:off x="5457825" y="1905000"/>
          <a:ext cx="3771900" cy="152400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 or select Manual / Other  to input a pressure.</a:t>
          </a:r>
        </a:p>
        <a:p>
          <a:pPr algn="ctr"/>
          <a:endParaRPr lang="en-US" sz="1100" b="1" baseline="0">
            <a:solidFill>
              <a:schemeClr val="tx2"/>
            </a:solidFill>
          </a:endParaRPr>
        </a:p>
        <a:p>
          <a:pPr algn="ctr"/>
          <a:r>
            <a:rPr lang="en-US" sz="1100" b="1" baseline="0">
              <a:solidFill>
                <a:schemeClr val="tx2"/>
              </a:solidFill>
            </a:rPr>
            <a:t>https://barometricpressure.org </a:t>
          </a:r>
          <a:r>
            <a:rPr lang="en-US" sz="1100" b="1" baseline="0">
              <a:solidFill>
                <a:schemeClr val="bg1"/>
              </a:solidFill>
            </a:rPr>
            <a:t>.</a:t>
          </a:r>
        </a:p>
        <a:p>
          <a:pPr algn="ctr"/>
          <a:endParaRPr lang="en-US" sz="1100" b="1" baseline="0">
            <a:solidFill>
              <a:schemeClr val="tx1"/>
            </a:solidFill>
          </a:endParaRPr>
        </a:p>
        <a:p>
          <a:pPr algn="ctr"/>
          <a:r>
            <a:rPr lang="en-US" b="1">
              <a:solidFill>
                <a:schemeClr val="tx1"/>
              </a:solidFill>
            </a:rPr>
            <a:t>The default value is 14.7 </a:t>
          </a:r>
          <a:r>
            <a:rPr lang="en-US" sz="1100" b="1">
              <a:solidFill>
                <a:schemeClr val="tx1"/>
              </a:solidFill>
            </a:rPr>
            <a:t> </a:t>
          </a:r>
        </a:p>
      </xdr:txBody>
    </xdr:sp>
    <xdr:clientData/>
  </xdr:twoCellAnchor>
  <xdr:twoCellAnchor>
    <xdr:from>
      <xdr:col>5</xdr:col>
      <xdr:colOff>217169</xdr:colOff>
      <xdr:row>4</xdr:row>
      <xdr:rowOff>74295</xdr:rowOff>
    </xdr:from>
    <xdr:to>
      <xdr:col>10</xdr:col>
      <xdr:colOff>483869</xdr:colOff>
      <xdr:row>18</xdr:row>
      <xdr:rowOff>76200</xdr:rowOff>
    </xdr:to>
    <xdr:sp macro="" textlink="">
      <xdr:nvSpPr>
        <xdr:cNvPr id="32" name="PO_MSG" hidden="1">
          <a:extLst>
            <a:ext uri="{FF2B5EF4-FFF2-40B4-BE49-F238E27FC236}">
              <a16:creationId xmlns:a16="http://schemas.microsoft.com/office/drawing/2014/main" id="{00000000-0008-0000-0100-000020000000}"/>
            </a:ext>
          </a:extLst>
        </xdr:cNvPr>
        <xdr:cNvSpPr/>
      </xdr:nvSpPr>
      <xdr:spPr bwMode="auto">
        <a:xfrm>
          <a:off x="4998719" y="1131570"/>
          <a:ext cx="5029200" cy="2516505"/>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 or</a:t>
          </a:r>
          <a:r>
            <a:rPr lang="en-US" sz="1100" b="1" u="sng">
              <a:solidFill>
                <a:schemeClr val="tx2"/>
              </a:solidFill>
            </a:rPr>
            <a:t> </a:t>
          </a:r>
          <a:r>
            <a:rPr lang="en-US" sz="1100" b="1" u="sng">
              <a:solidFill>
                <a:srgbClr val="FF0000"/>
              </a:solidFill>
            </a:rPr>
            <a:t>BAR</a:t>
          </a:r>
          <a:r>
            <a:rPr lang="en-US" sz="1100" b="1" u="sng">
              <a:solidFill>
                <a:schemeClr val="tx2"/>
              </a:solidFill>
            </a:rPr>
            <a:t>.</a:t>
          </a:r>
        </a:p>
        <a:p>
          <a:pPr algn="ctr"/>
          <a:endParaRPr lang="en-US" sz="1100" b="1" u="sng">
            <a:solidFill>
              <a:schemeClr val="tx1"/>
            </a:solidFill>
          </a:endParaRPr>
        </a:p>
        <a:p>
          <a:pPr algn="ctr"/>
          <a:r>
            <a:rPr lang="en-US" sz="1200" b="1" u="none">
              <a:solidFill>
                <a:schemeClr val="tx1"/>
              </a:solidFill>
            </a:rPr>
            <a:t>Enter the design inlet pressure to what ever the device is that you are controlling.</a:t>
          </a:r>
        </a:p>
        <a:p>
          <a:pPr algn="ctr"/>
          <a:endParaRPr lang="en-US" sz="1100" b="0" u="sng">
            <a:solidFill>
              <a:schemeClr val="tx1"/>
            </a:solidFill>
          </a:endParaRPr>
        </a:p>
        <a:p>
          <a:pPr algn="l" rtl="0" eaLnBrk="1" latinLnBrk="0" hangingPunct="1"/>
          <a:r>
            <a:rPr lang="en-US" sz="1200" b="1">
              <a:solidFill>
                <a:schemeClr val="tx1"/>
              </a:solidFill>
              <a:effectLst/>
              <a:latin typeface="+mn-lt"/>
              <a:ea typeface="+mn-ea"/>
              <a:cs typeface="+mn-cs"/>
            </a:rPr>
            <a:t>If the Outlet Pressure is UN-Known, you can use Critical Pressure to calculate the</a:t>
          </a:r>
          <a:r>
            <a:rPr lang="en-US" sz="1200" b="1" baseline="0">
              <a:solidFill>
                <a:schemeClr val="tx1"/>
              </a:solidFill>
              <a:effectLst/>
              <a:latin typeface="+mn-lt"/>
              <a:ea typeface="+mn-ea"/>
              <a:cs typeface="+mn-cs"/>
            </a:rPr>
            <a:t> ou</a:t>
          </a:r>
          <a:r>
            <a:rPr lang="en-US" sz="1200" b="1">
              <a:solidFill>
                <a:schemeClr val="tx1"/>
              </a:solidFill>
              <a:effectLst/>
              <a:latin typeface="+mn-lt"/>
              <a:ea typeface="+mn-ea"/>
              <a:cs typeface="+mn-cs"/>
            </a:rPr>
            <a:t>let pressure.</a:t>
          </a:r>
        </a:p>
        <a:p>
          <a:pPr algn="l" rtl="0" eaLnBrk="1" latinLnBrk="0" hangingPunct="1"/>
          <a:endParaRPr lang="en-US" sz="1200" b="1">
            <a:solidFill>
              <a:schemeClr val="bg1"/>
            </a:solidFill>
            <a:effectLst/>
            <a:latin typeface="+mn-lt"/>
            <a:ea typeface="+mn-ea"/>
            <a:cs typeface="+mn-cs"/>
          </a:endParaRPr>
        </a:p>
        <a:p>
          <a:pPr algn="l" rtl="0" eaLnBrk="1" latinLnBrk="0" hangingPunct="1"/>
          <a:r>
            <a:rPr lang="en-US" sz="1200"/>
            <a:t>Calculates the </a:t>
          </a:r>
          <a:r>
            <a:rPr lang="en-US" sz="1200" b="1"/>
            <a:t>maximum outlet pressure at which choked steam flow occurs</a:t>
          </a:r>
          <a:r>
            <a:rPr lang="en-US" sz="1200"/>
            <a:t> for the specified inlet pressure. At or below this pressure, further reductions in downstream pressure will not increase the flow through the valve..</a:t>
          </a:r>
          <a:r>
            <a:rPr lang="en-US" sz="1200" b="1">
              <a:solidFill>
                <a:schemeClr val="bg1"/>
              </a:solidFill>
              <a:effectLst/>
              <a:latin typeface="+mn-lt"/>
              <a:ea typeface="+mn-ea"/>
              <a:cs typeface="+mn-cs"/>
            </a:rPr>
            <a:t>  </a:t>
          </a:r>
        </a:p>
        <a:p>
          <a:pPr algn="l" rtl="0" eaLnBrk="1" latinLnBrk="0" hangingPunct="1"/>
          <a:endParaRPr lang="en-US" sz="1200" b="1">
            <a:solidFill>
              <a:schemeClr val="bg1"/>
            </a:solidFill>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200" b="1" u="sng" baseline="0">
              <a:solidFill>
                <a:schemeClr val="bg1"/>
              </a:solidFill>
              <a:effectLst/>
              <a:latin typeface="+mn-lt"/>
              <a:ea typeface="+mn-ea"/>
              <a:cs typeface="+mn-cs"/>
            </a:rPr>
            <a:t>If this value is Un-Known</a:t>
          </a:r>
          <a:r>
            <a:rPr lang="en-US" sz="1200" b="0" u="sng" baseline="0">
              <a:solidFill>
                <a:schemeClr val="bg1"/>
              </a:solidFill>
              <a:effectLst/>
              <a:latin typeface="+mn-lt"/>
              <a:ea typeface="+mn-ea"/>
              <a:cs typeface="+mn-cs"/>
            </a:rPr>
            <a:t>, </a:t>
          </a:r>
          <a:r>
            <a:rPr lang="en-US" sz="1200" b="1" u="sng" baseline="0">
              <a:solidFill>
                <a:schemeClr val="bg1"/>
              </a:solidFill>
              <a:effectLst/>
              <a:latin typeface="+mn-lt"/>
              <a:ea typeface="+mn-ea"/>
              <a:cs typeface="+mn-cs"/>
            </a:rPr>
            <a:t>Input 0 to calculate </a:t>
          </a:r>
          <a:r>
            <a:rPr lang="en-US" sz="1200" b="0" u="sng" baseline="0">
              <a:solidFill>
                <a:schemeClr val="bg1"/>
              </a:solidFill>
              <a:effectLst/>
              <a:latin typeface="+mn-lt"/>
              <a:ea typeface="+mn-ea"/>
              <a:cs typeface="+mn-cs"/>
            </a:rPr>
            <a:t>a Pressure.</a:t>
          </a:r>
          <a:endParaRPr lang="en-US" sz="1400">
            <a:solidFill>
              <a:schemeClr val="bg1"/>
            </a:solidFill>
            <a:effectLst/>
          </a:endParaRPr>
        </a:p>
        <a:p>
          <a:pPr algn="l" rtl="0" eaLnBrk="1" latinLnBrk="0" hangingPunct="1"/>
          <a:endParaRPr lang="en-US" sz="1200" b="1">
            <a:solidFill>
              <a:schemeClr val="bg1"/>
            </a:solidFill>
            <a:effectLst/>
          </a:endParaRPr>
        </a:p>
      </xdr:txBody>
    </xdr:sp>
    <xdr:clientData/>
  </xdr:twoCellAnchor>
  <xdr:twoCellAnchor>
    <xdr:from>
      <xdr:col>5</xdr:col>
      <xdr:colOff>190500</xdr:colOff>
      <xdr:row>11</xdr:row>
      <xdr:rowOff>9524</xdr:rowOff>
    </xdr:from>
    <xdr:to>
      <xdr:col>8</xdr:col>
      <xdr:colOff>485775</xdr:colOff>
      <xdr:row>16</xdr:row>
      <xdr:rowOff>85724</xdr:rowOff>
    </xdr:to>
    <xdr:sp macro="" textlink="">
      <xdr:nvSpPr>
        <xdr:cNvPr id="2" name="Q_MSG" hidden="1">
          <a:extLst>
            <a:ext uri="{FF2B5EF4-FFF2-40B4-BE49-F238E27FC236}">
              <a16:creationId xmlns:a16="http://schemas.microsoft.com/office/drawing/2014/main" id="{00000000-0008-0000-0100-000002000000}"/>
            </a:ext>
          </a:extLst>
        </xdr:cNvPr>
        <xdr:cNvSpPr/>
      </xdr:nvSpPr>
      <xdr:spPr bwMode="auto">
        <a:xfrm>
          <a:off x="4972050" y="2133599"/>
          <a:ext cx="3695700" cy="120015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tx1"/>
              </a:solidFill>
            </a:rPr>
            <a:t>Values entered here will be converted to Lbs/Hr</a:t>
          </a:r>
          <a:r>
            <a:rPr lang="en-US" sz="1100" b="1" baseline="0">
              <a:solidFill>
                <a:schemeClr val="tx1"/>
              </a:solidFill>
            </a:rPr>
            <a:t>.</a:t>
          </a:r>
          <a:endParaRPr lang="en-US" sz="1100" b="1">
            <a:solidFill>
              <a:schemeClr val="tx1"/>
            </a:solidFill>
          </a:endParaRPr>
        </a:p>
      </xdr:txBody>
    </xdr:sp>
    <xdr:clientData/>
  </xdr:twoCellAnchor>
  <xdr:twoCellAnchor editAs="oneCell">
    <xdr:from>
      <xdr:col>4</xdr:col>
      <xdr:colOff>261937</xdr:colOff>
      <xdr:row>14</xdr:row>
      <xdr:rowOff>57150</xdr:rowOff>
    </xdr:from>
    <xdr:to>
      <xdr:col>5</xdr:col>
      <xdr:colOff>45529</xdr:colOff>
      <xdr:row>14</xdr:row>
      <xdr:rowOff>221742</xdr:rowOff>
    </xdr:to>
    <xdr:sp macro="[0]!ToggleAP_MSG" textlink="">
      <xdr:nvSpPr>
        <xdr:cNvPr id="38" name="?_AP_MSG">
          <a:extLst>
            <a:ext uri="{FF2B5EF4-FFF2-40B4-BE49-F238E27FC236}">
              <a16:creationId xmlns:a16="http://schemas.microsoft.com/office/drawing/2014/main" id="{00000000-0008-0000-0100-000026000000}"/>
            </a:ext>
          </a:extLst>
        </xdr:cNvPr>
        <xdr:cNvSpPr>
          <a:spLocks noChangeAspect="1"/>
        </xdr:cNvSpPr>
      </xdr:nvSpPr>
      <xdr:spPr>
        <a:xfrm>
          <a:off x="4662487" y="29051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13</xdr:row>
      <xdr:rowOff>60325</xdr:rowOff>
    </xdr:from>
    <xdr:to>
      <xdr:col>5</xdr:col>
      <xdr:colOff>45529</xdr:colOff>
      <xdr:row>13</xdr:row>
      <xdr:rowOff>224917</xdr:rowOff>
    </xdr:to>
    <xdr:sp macro="[0]!TogglePO_MSG" textlink="">
      <xdr:nvSpPr>
        <xdr:cNvPr id="39" name="?_PO_MSG">
          <a:extLst>
            <a:ext uri="{FF2B5EF4-FFF2-40B4-BE49-F238E27FC236}">
              <a16:creationId xmlns:a16="http://schemas.microsoft.com/office/drawing/2014/main" id="{00000000-0008-0000-0100-000027000000}"/>
            </a:ext>
          </a:extLst>
        </xdr:cNvPr>
        <xdr:cNvSpPr>
          <a:spLocks noChangeAspect="1"/>
        </xdr:cNvSpPr>
      </xdr:nvSpPr>
      <xdr:spPr>
        <a:xfrm>
          <a:off x="4662487" y="266065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12</xdr:row>
      <xdr:rowOff>53975</xdr:rowOff>
    </xdr:from>
    <xdr:to>
      <xdr:col>5</xdr:col>
      <xdr:colOff>45529</xdr:colOff>
      <xdr:row>12</xdr:row>
      <xdr:rowOff>218567</xdr:rowOff>
    </xdr:to>
    <xdr:sp macro="[0]!TogglePI_MSG" textlink="">
      <xdr:nvSpPr>
        <xdr:cNvPr id="40" name="?_PI_MSG">
          <a:extLst>
            <a:ext uri="{FF2B5EF4-FFF2-40B4-BE49-F238E27FC236}">
              <a16:creationId xmlns:a16="http://schemas.microsoft.com/office/drawing/2014/main" id="{00000000-0008-0000-0100-000028000000}"/>
            </a:ext>
          </a:extLst>
        </xdr:cNvPr>
        <xdr:cNvSpPr>
          <a:spLocks noChangeAspect="1"/>
        </xdr:cNvSpPr>
      </xdr:nvSpPr>
      <xdr:spPr>
        <a:xfrm>
          <a:off x="4662487" y="241617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261938</xdr:colOff>
      <xdr:row>11</xdr:row>
      <xdr:rowOff>47625</xdr:rowOff>
    </xdr:from>
    <xdr:to>
      <xdr:col>5</xdr:col>
      <xdr:colOff>45530</xdr:colOff>
      <xdr:row>11</xdr:row>
      <xdr:rowOff>212217</xdr:rowOff>
    </xdr:to>
    <xdr:sp macro="[0]!ToggleQ_MSG" textlink="">
      <xdr:nvSpPr>
        <xdr:cNvPr id="4" name="?_Q_MSG">
          <a:extLst>
            <a:ext uri="{FF2B5EF4-FFF2-40B4-BE49-F238E27FC236}">
              <a16:creationId xmlns:a16="http://schemas.microsoft.com/office/drawing/2014/main" id="{00000000-0008-0000-0100-000004000000}"/>
            </a:ext>
          </a:extLst>
        </xdr:cNvPr>
        <xdr:cNvSpPr>
          <a:spLocks noChangeAspect="1"/>
        </xdr:cNvSpPr>
      </xdr:nvSpPr>
      <xdr:spPr>
        <a:xfrm>
          <a:off x="4662488" y="21717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5</xdr:col>
      <xdr:colOff>200025</xdr:colOff>
      <xdr:row>9</xdr:row>
      <xdr:rowOff>133349</xdr:rowOff>
    </xdr:from>
    <xdr:to>
      <xdr:col>7</xdr:col>
      <xdr:colOff>714375</xdr:colOff>
      <xdr:row>14</xdr:row>
      <xdr:rowOff>190500</xdr:rowOff>
    </xdr:to>
    <xdr:sp macro="" textlink="">
      <xdr:nvSpPr>
        <xdr:cNvPr id="44" name="CB_h_CTRL_Modulating" hidden="1">
          <a:extLst>
            <a:ext uri="{FF2B5EF4-FFF2-40B4-BE49-F238E27FC236}">
              <a16:creationId xmlns:a16="http://schemas.microsoft.com/office/drawing/2014/main" id="{00000000-0008-0000-0100-00002C000000}"/>
            </a:ext>
          </a:extLst>
        </xdr:cNvPr>
        <xdr:cNvSpPr/>
      </xdr:nvSpPr>
      <xdr:spPr bwMode="auto">
        <a:xfrm>
          <a:off x="4981575" y="1914524"/>
          <a:ext cx="2971800" cy="11239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266699</xdr:colOff>
      <xdr:row>6</xdr:row>
      <xdr:rowOff>9524</xdr:rowOff>
    </xdr:from>
    <xdr:to>
      <xdr:col>9</xdr:col>
      <xdr:colOff>495299</xdr:colOff>
      <xdr:row>19</xdr:row>
      <xdr:rowOff>133349</xdr:rowOff>
    </xdr:to>
    <xdr:sp macro="" textlink="">
      <xdr:nvSpPr>
        <xdr:cNvPr id="35" name="CB_h_CTRL_OnOff" hidden="1">
          <a:extLst>
            <a:ext uri="{FF2B5EF4-FFF2-40B4-BE49-F238E27FC236}">
              <a16:creationId xmlns:a16="http://schemas.microsoft.com/office/drawing/2014/main" id="{00000000-0008-0000-0100-000023000000}"/>
            </a:ext>
          </a:extLst>
        </xdr:cNvPr>
        <xdr:cNvSpPr/>
      </xdr:nvSpPr>
      <xdr:spPr bwMode="auto">
        <a:xfrm>
          <a:off x="5048249" y="1381124"/>
          <a:ext cx="4381500" cy="24860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200" b="1" u="sng">
            <a:solidFill>
              <a:schemeClr val="bg1"/>
            </a:solidFill>
          </a:endParaRPr>
        </a:p>
        <a:p>
          <a:pPr algn="ctr"/>
          <a:r>
            <a:rPr lang="en-US" sz="1200" b="1" i="0" u="none" strike="noStrike">
              <a:solidFill>
                <a:schemeClr val="bg1"/>
              </a:solidFill>
              <a:effectLst/>
              <a:latin typeface="+mn-lt"/>
              <a:ea typeface="+mn-ea"/>
              <a:cs typeface="+mn-cs"/>
            </a:rPr>
            <a:t>An On/Off valve is either fully open or fully closed. It delivers full design flow when open and zero flow when closed. No throttling or modulation occurs.  </a:t>
          </a:r>
        </a:p>
        <a:p>
          <a:pPr algn="l"/>
          <a:r>
            <a:rPr lang="en-US" sz="1200" b="1" i="0" u="none" strike="noStrike">
              <a:solidFill>
                <a:schemeClr val="bg1"/>
              </a:solidFill>
              <a:effectLst/>
              <a:latin typeface="+mn-lt"/>
              <a:ea typeface="+mn-ea"/>
              <a:cs typeface="+mn-cs"/>
            </a:rPr>
            <a:t>GENERAL SIZING RULES</a:t>
          </a:r>
          <a:r>
            <a:rPr lang="en-US" sz="1200" b="1">
              <a:solidFill>
                <a:schemeClr val="bg1"/>
              </a:solidFill>
              <a:effectLst/>
            </a:rPr>
            <a:t> </a:t>
          </a:r>
        </a:p>
        <a:p>
          <a:pPr algn="l"/>
          <a:r>
            <a:rPr lang="en-US" sz="1200" b="1" i="0" u="none" strike="noStrike">
              <a:solidFill>
                <a:schemeClr val="bg1"/>
              </a:solidFill>
              <a:effectLst/>
              <a:latin typeface="+mn-lt"/>
              <a:ea typeface="+mn-ea"/>
              <a:cs typeface="+mn-cs"/>
            </a:rPr>
            <a:t>1.  Size the valve to pass 100% of design flow at fully open.</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2.  Select the next standard Cv AT OR ABOVE required Cv.</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3.  Match valve body size to coil inlet pipe size (line size).</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4.  Verify fully-open Cv of selected valve type exceeds required Cv.</a:t>
          </a:r>
          <a:br>
            <a:rPr lang="en-US" sz="1200" b="1" i="0" u="none" strike="noStrike">
              <a:solidFill>
                <a:schemeClr val="bg1"/>
              </a:solidFill>
              <a:effectLst/>
              <a:latin typeface="+mn-lt"/>
              <a:ea typeface="+mn-ea"/>
              <a:cs typeface="+mn-cs"/>
            </a:rPr>
          </a:br>
          <a:r>
            <a:rPr lang="en-US" sz="1200" b="1" i="0" u="none" strike="noStrike">
              <a:solidFill>
                <a:schemeClr val="bg1"/>
              </a:solidFill>
              <a:effectLst/>
              <a:latin typeface="+mn-lt"/>
              <a:ea typeface="+mn-ea"/>
              <a:cs typeface="+mn-cs"/>
            </a:rPr>
            <a:t>5.  Confirm close-off pressure rating handles full inlet pressure when shut</a:t>
          </a:r>
          <a:r>
            <a:rPr lang="en-US" sz="1100" b="0" i="0" u="none" strike="noStrike">
              <a:effectLst/>
              <a:latin typeface="+mn-lt"/>
              <a:ea typeface="+mn-ea"/>
              <a:cs typeface="+mn-cs"/>
            </a:rPr>
            <a:t>.</a:t>
          </a:r>
          <a:r>
            <a:rPr lang="en-US">
              <a:effectLst/>
            </a:rPr>
            <a:t> </a:t>
          </a:r>
          <a:r>
            <a:rPr lang="en-US">
              <a:solidFill>
                <a:schemeClr val="bg1"/>
              </a:solidFill>
              <a:effectLst/>
            </a:rPr>
            <a:t> </a:t>
          </a:r>
          <a:endParaRPr lang="en-US" sz="1100" b="1">
            <a:solidFill>
              <a:schemeClr val="bg1"/>
            </a:solidFill>
          </a:endParaRPr>
        </a:p>
      </xdr:txBody>
    </xdr:sp>
    <xdr:clientData/>
  </xdr:twoCellAnchor>
  <xdr:twoCellAnchor>
    <xdr:from>
      <xdr:col>5</xdr:col>
      <xdr:colOff>209550</xdr:colOff>
      <xdr:row>4</xdr:row>
      <xdr:rowOff>76199</xdr:rowOff>
    </xdr:from>
    <xdr:to>
      <xdr:col>7</xdr:col>
      <xdr:colOff>723900</xdr:colOff>
      <xdr:row>11</xdr:row>
      <xdr:rowOff>238124</xdr:rowOff>
    </xdr:to>
    <xdr:sp macro="" textlink="">
      <xdr:nvSpPr>
        <xdr:cNvPr id="3" name="CB_h_APP_Radiator" hidden="1">
          <a:extLst>
            <a:ext uri="{FF2B5EF4-FFF2-40B4-BE49-F238E27FC236}">
              <a16:creationId xmlns:a16="http://schemas.microsoft.com/office/drawing/2014/main" id="{00000000-0008-0000-0100-000003000000}"/>
            </a:ext>
          </a:extLst>
        </xdr:cNvPr>
        <xdr:cNvSpPr/>
      </xdr:nvSpPr>
      <xdr:spPr bwMode="auto">
        <a:xfrm>
          <a:off x="4991100" y="1133474"/>
          <a:ext cx="2971800"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285749</xdr:colOff>
      <xdr:row>16</xdr:row>
      <xdr:rowOff>142875</xdr:rowOff>
    </xdr:from>
    <xdr:to>
      <xdr:col>7</xdr:col>
      <xdr:colOff>171449</xdr:colOff>
      <xdr:row>18</xdr:row>
      <xdr:rowOff>19050</xdr:rowOff>
    </xdr:to>
    <xdr:sp macro="" textlink="">
      <xdr:nvSpPr>
        <xdr:cNvPr id="30" name="h_Step_7" hidden="1">
          <a:extLst>
            <a:ext uri="{FF2B5EF4-FFF2-40B4-BE49-F238E27FC236}">
              <a16:creationId xmlns:a16="http://schemas.microsoft.com/office/drawing/2014/main" id="{00000000-0008-0000-0100-00001E000000}"/>
            </a:ext>
          </a:extLst>
        </xdr:cNvPr>
        <xdr:cNvSpPr/>
      </xdr:nvSpPr>
      <xdr:spPr>
        <a:xfrm>
          <a:off x="5562599" y="3648075"/>
          <a:ext cx="2286000" cy="200025"/>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7:    Click Calculate Button </a:t>
          </a:r>
        </a:p>
      </xdr:txBody>
    </xdr:sp>
    <xdr:clientData/>
  </xdr:twoCellAnchor>
  <xdr:twoCellAnchor>
    <xdr:from>
      <xdr:col>5</xdr:col>
      <xdr:colOff>285749</xdr:colOff>
      <xdr:row>14</xdr:row>
      <xdr:rowOff>28575</xdr:rowOff>
    </xdr:from>
    <xdr:to>
      <xdr:col>7</xdr:col>
      <xdr:colOff>171449</xdr:colOff>
      <xdr:row>15</xdr:row>
      <xdr:rowOff>19050</xdr:rowOff>
    </xdr:to>
    <xdr:sp macro="" textlink="">
      <xdr:nvSpPr>
        <xdr:cNvPr id="29" name="h_Step_6" hidden="1">
          <a:extLst>
            <a:ext uri="{FF2B5EF4-FFF2-40B4-BE49-F238E27FC236}">
              <a16:creationId xmlns:a16="http://schemas.microsoft.com/office/drawing/2014/main" id="{00000000-0008-0000-0100-00001D000000}"/>
            </a:ext>
          </a:extLst>
        </xdr:cNvPr>
        <xdr:cNvSpPr/>
      </xdr:nvSpPr>
      <xdr:spPr>
        <a:xfrm>
          <a:off x="5562599" y="313372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6:     Select Region -or-</a:t>
          </a:r>
          <a:r>
            <a:rPr lang="en-US" sz="1000" b="0" baseline="0">
              <a:solidFill>
                <a:sysClr val="windowText" lastClr="000000"/>
              </a:solidFill>
              <a:latin typeface="Arial" panose="020B0604020202020204" pitchFamily="34" charset="0"/>
              <a:cs typeface="Arial" panose="020B0604020202020204" pitchFamily="34" charset="0"/>
            </a:rPr>
            <a:t> Custom</a:t>
          </a:r>
          <a:r>
            <a:rPr lang="en-US" sz="1000" b="0">
              <a:solidFill>
                <a:sysClr val="windowText" lastClr="000000"/>
              </a:solidFill>
              <a:latin typeface="Arial" panose="020B0604020202020204" pitchFamily="34" charset="0"/>
              <a:cs typeface="Arial" panose="020B0604020202020204" pitchFamily="34" charset="0"/>
            </a:rPr>
            <a:t> </a:t>
          </a:r>
        </a:p>
      </xdr:txBody>
    </xdr:sp>
    <xdr:clientData/>
  </xdr:twoCellAnchor>
  <xdr:twoCellAnchor>
    <xdr:from>
      <xdr:col>5</xdr:col>
      <xdr:colOff>285749</xdr:colOff>
      <xdr:row>13</xdr:row>
      <xdr:rowOff>15240</xdr:rowOff>
    </xdr:from>
    <xdr:to>
      <xdr:col>7</xdr:col>
      <xdr:colOff>171449</xdr:colOff>
      <xdr:row>13</xdr:row>
      <xdr:rowOff>243840</xdr:rowOff>
    </xdr:to>
    <xdr:sp macro="" textlink="">
      <xdr:nvSpPr>
        <xdr:cNvPr id="33" name="h_Step_5" hidden="1">
          <a:extLst>
            <a:ext uri="{FF2B5EF4-FFF2-40B4-BE49-F238E27FC236}">
              <a16:creationId xmlns:a16="http://schemas.microsoft.com/office/drawing/2014/main" id="{00000000-0008-0000-0100-000021000000}"/>
            </a:ext>
          </a:extLst>
        </xdr:cNvPr>
        <xdr:cNvSpPr/>
      </xdr:nvSpPr>
      <xdr:spPr>
        <a:xfrm>
          <a:off x="5562599" y="287274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5:     Select Outlet Pressure </a:t>
          </a:r>
        </a:p>
      </xdr:txBody>
    </xdr:sp>
    <xdr:clientData/>
  </xdr:twoCellAnchor>
  <xdr:twoCellAnchor>
    <xdr:from>
      <xdr:col>5</xdr:col>
      <xdr:colOff>285749</xdr:colOff>
      <xdr:row>12</xdr:row>
      <xdr:rowOff>1905</xdr:rowOff>
    </xdr:from>
    <xdr:to>
      <xdr:col>7</xdr:col>
      <xdr:colOff>171449</xdr:colOff>
      <xdr:row>12</xdr:row>
      <xdr:rowOff>230505</xdr:rowOff>
    </xdr:to>
    <xdr:sp macro="" textlink="">
      <xdr:nvSpPr>
        <xdr:cNvPr id="31" name="h_Step_4" hidden="1">
          <a:extLst>
            <a:ext uri="{FF2B5EF4-FFF2-40B4-BE49-F238E27FC236}">
              <a16:creationId xmlns:a16="http://schemas.microsoft.com/office/drawing/2014/main" id="{00000000-0008-0000-0100-00001F000000}"/>
            </a:ext>
          </a:extLst>
        </xdr:cNvPr>
        <xdr:cNvSpPr/>
      </xdr:nvSpPr>
      <xdr:spPr>
        <a:xfrm>
          <a:off x="5562599" y="262128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4:     Select Inlet  Pressure </a:t>
          </a:r>
        </a:p>
      </xdr:txBody>
    </xdr:sp>
    <xdr:clientData/>
  </xdr:twoCellAnchor>
  <xdr:twoCellAnchor>
    <xdr:from>
      <xdr:col>5</xdr:col>
      <xdr:colOff>285749</xdr:colOff>
      <xdr:row>10</xdr:row>
      <xdr:rowOff>57150</xdr:rowOff>
    </xdr:from>
    <xdr:to>
      <xdr:col>7</xdr:col>
      <xdr:colOff>171449</xdr:colOff>
      <xdr:row>11</xdr:row>
      <xdr:rowOff>209550</xdr:rowOff>
    </xdr:to>
    <xdr:sp macro="[0]!ToggleStep3Message" textlink="">
      <xdr:nvSpPr>
        <xdr:cNvPr id="28" name="h_Step_3" hidden="1">
          <a:extLst>
            <a:ext uri="{FF2B5EF4-FFF2-40B4-BE49-F238E27FC236}">
              <a16:creationId xmlns:a16="http://schemas.microsoft.com/office/drawing/2014/main" id="{00000000-0008-0000-0100-00001C000000}"/>
            </a:ext>
          </a:extLst>
        </xdr:cNvPr>
        <xdr:cNvSpPr/>
      </xdr:nvSpPr>
      <xdr:spPr>
        <a:xfrm>
          <a:off x="5562599" y="236220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3:     Select Flow Rate &amp; Unit </a:t>
          </a:r>
        </a:p>
      </xdr:txBody>
    </xdr:sp>
    <xdr:clientData/>
  </xdr:twoCellAnchor>
  <xdr:twoCellAnchor>
    <xdr:from>
      <xdr:col>5</xdr:col>
      <xdr:colOff>285749</xdr:colOff>
      <xdr:row>5</xdr:row>
      <xdr:rowOff>228600</xdr:rowOff>
    </xdr:from>
    <xdr:to>
      <xdr:col>7</xdr:col>
      <xdr:colOff>171449</xdr:colOff>
      <xdr:row>7</xdr:row>
      <xdr:rowOff>209550</xdr:rowOff>
    </xdr:to>
    <xdr:sp macro="" textlink="">
      <xdr:nvSpPr>
        <xdr:cNvPr id="27" name="h_Step_2" hidden="1">
          <a:extLst>
            <a:ext uri="{FF2B5EF4-FFF2-40B4-BE49-F238E27FC236}">
              <a16:creationId xmlns:a16="http://schemas.microsoft.com/office/drawing/2014/main" id="{00000000-0008-0000-0100-00001B000000}"/>
            </a:ext>
          </a:extLst>
        </xdr:cNvPr>
        <xdr:cNvSpPr/>
      </xdr:nvSpPr>
      <xdr:spPr>
        <a:xfrm>
          <a:off x="5562599" y="161925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2:     Select Control Mode </a:t>
          </a:r>
        </a:p>
      </xdr:txBody>
    </xdr:sp>
    <xdr:clientData/>
  </xdr:twoCellAnchor>
  <xdr:twoCellAnchor>
    <xdr:from>
      <xdr:col>5</xdr:col>
      <xdr:colOff>285749</xdr:colOff>
      <xdr:row>4</xdr:row>
      <xdr:rowOff>47625</xdr:rowOff>
    </xdr:from>
    <xdr:to>
      <xdr:col>7</xdr:col>
      <xdr:colOff>171449</xdr:colOff>
      <xdr:row>5</xdr:row>
      <xdr:rowOff>200025</xdr:rowOff>
    </xdr:to>
    <xdr:sp macro="" textlink="">
      <xdr:nvSpPr>
        <xdr:cNvPr id="21" name="h_Step_1" hidden="1">
          <a:extLst>
            <a:ext uri="{FF2B5EF4-FFF2-40B4-BE49-F238E27FC236}">
              <a16:creationId xmlns:a16="http://schemas.microsoft.com/office/drawing/2014/main" id="{00000000-0008-0000-0100-000015000000}"/>
            </a:ext>
          </a:extLst>
        </xdr:cNvPr>
        <xdr:cNvSpPr/>
      </xdr:nvSpPr>
      <xdr:spPr>
        <a:xfrm>
          <a:off x="5562599" y="136207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1:     Select the Application </a:t>
          </a:r>
        </a:p>
      </xdr:txBody>
    </xdr:sp>
    <xdr:clientData/>
  </xdr:twoCellAnchor>
  <xdr:twoCellAnchor>
    <xdr:from>
      <xdr:col>5</xdr:col>
      <xdr:colOff>285749</xdr:colOff>
      <xdr:row>2</xdr:row>
      <xdr:rowOff>66675</xdr:rowOff>
    </xdr:from>
    <xdr:to>
      <xdr:col>7</xdr:col>
      <xdr:colOff>171449</xdr:colOff>
      <xdr:row>3</xdr:row>
      <xdr:rowOff>179070</xdr:rowOff>
    </xdr:to>
    <xdr:sp macro="[0]!ShowHideSteps" textlink="">
      <xdr:nvSpPr>
        <xdr:cNvPr id="34" name="h_ShowHide">
          <a:extLst>
            <a:ext uri="{FF2B5EF4-FFF2-40B4-BE49-F238E27FC236}">
              <a16:creationId xmlns:a16="http://schemas.microsoft.com/office/drawing/2014/main" id="{00000000-0008-0000-0100-000022000000}"/>
            </a:ext>
          </a:extLst>
        </xdr:cNvPr>
        <xdr:cNvSpPr/>
      </xdr:nvSpPr>
      <xdr:spPr>
        <a:xfrm>
          <a:off x="5562599" y="952500"/>
          <a:ext cx="2286000"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0" spc="100"/>
            <a:t>SHOW /</a:t>
          </a:r>
          <a:r>
            <a:rPr lang="en-US" sz="1100" b="0" spc="100" baseline="0"/>
            <a:t> HIDE STEPS</a:t>
          </a:r>
          <a:endParaRPr lang="en-US" sz="1100" b="0" spc="100"/>
        </a:p>
      </xdr:txBody>
    </xdr:sp>
    <xdr:clientData/>
  </xdr:twoCellAnchor>
  <xdr:twoCellAnchor>
    <xdr:from>
      <xdr:col>7</xdr:col>
      <xdr:colOff>485775</xdr:colOff>
      <xdr:row>2</xdr:row>
      <xdr:rowOff>66675</xdr:rowOff>
    </xdr:from>
    <xdr:to>
      <xdr:col>8</xdr:col>
      <xdr:colOff>657225</xdr:colOff>
      <xdr:row>3</xdr:row>
      <xdr:rowOff>179070</xdr:rowOff>
    </xdr:to>
    <xdr:sp macro="[0]!CloseTool" textlink="">
      <xdr:nvSpPr>
        <xdr:cNvPr id="14" name="Calculate Button">
          <a:extLst>
            <a:ext uri="{FF2B5EF4-FFF2-40B4-BE49-F238E27FC236}">
              <a16:creationId xmlns:a16="http://schemas.microsoft.com/office/drawing/2014/main" id="{00000000-0008-0000-0100-00000E000000}"/>
            </a:ext>
          </a:extLst>
        </xdr:cNvPr>
        <xdr:cNvSpPr/>
      </xdr:nvSpPr>
      <xdr:spPr>
        <a:xfrm>
          <a:off x="7724775" y="695325"/>
          <a:ext cx="1114425"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nchorCtr="0"/>
        <a:lstStyle/>
        <a:p>
          <a:pPr algn="ctr"/>
          <a:r>
            <a:rPr lang="en-US" sz="1100" b="0" i="0" u="none" spc="100" baseline="0"/>
            <a:t>CLOSE TOOL</a:t>
          </a:r>
        </a:p>
      </xdr:txBody>
    </xdr:sp>
    <xdr:clientData/>
  </xdr:twoCellAnchor>
  <xdr:twoCellAnchor editAs="oneCell">
    <xdr:from>
      <xdr:col>3</xdr:col>
      <xdr:colOff>733424</xdr:colOff>
      <xdr:row>16</xdr:row>
      <xdr:rowOff>104775</xdr:rowOff>
    </xdr:from>
    <xdr:to>
      <xdr:col>4</xdr:col>
      <xdr:colOff>316229</xdr:colOff>
      <xdr:row>18</xdr:row>
      <xdr:rowOff>146685</xdr:rowOff>
    </xdr:to>
    <xdr:sp macro="[0]!AddToSummary_Click" textlink="">
      <xdr:nvSpPr>
        <xdr:cNvPr id="11" name="Calculate Button">
          <a:extLst>
            <a:ext uri="{FF2B5EF4-FFF2-40B4-BE49-F238E27FC236}">
              <a16:creationId xmlns:a16="http://schemas.microsoft.com/office/drawing/2014/main" id="{00000000-0008-0000-0100-00000B000000}"/>
            </a:ext>
          </a:extLst>
        </xdr:cNvPr>
        <xdr:cNvSpPr/>
      </xdr:nvSpPr>
      <xdr:spPr>
        <a:xfrm>
          <a:off x="3752849"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00" b="0" i="0" u="none" spc="100" baseline="0"/>
            <a:t>ADD TO SUMMARY</a:t>
          </a:r>
        </a:p>
      </xdr:txBody>
    </xdr:sp>
    <xdr:clientData/>
  </xdr:twoCellAnchor>
  <xdr:twoCellAnchor>
    <xdr:from>
      <xdr:col>9</xdr:col>
      <xdr:colOff>54227</xdr:colOff>
      <xdr:row>28</xdr:row>
      <xdr:rowOff>68368</xdr:rowOff>
    </xdr:from>
    <xdr:to>
      <xdr:col>9</xdr:col>
      <xdr:colOff>218819</xdr:colOff>
      <xdr:row>28</xdr:row>
      <xdr:rowOff>232960</xdr:rowOff>
    </xdr:to>
    <xdr:sp macro="[0]!DisplayCfoMSG" textlink="">
      <xdr:nvSpPr>
        <xdr:cNvPr id="16" name="?_PI_MSG">
          <a:extLst>
            <a:ext uri="{FF2B5EF4-FFF2-40B4-BE49-F238E27FC236}">
              <a16:creationId xmlns:a16="http://schemas.microsoft.com/office/drawing/2014/main" id="{00000000-0008-0000-0100-000010000000}"/>
            </a:ext>
          </a:extLst>
        </xdr:cNvPr>
        <xdr:cNvSpPr>
          <a:spLocks/>
        </xdr:cNvSpPr>
      </xdr:nvSpPr>
      <xdr:spPr>
        <a:xfrm flipH="1">
          <a:off x="9436352" y="6011968"/>
          <a:ext cx="164592" cy="164592"/>
        </a:xfrm>
        <a:prstGeom prst="ellipse">
          <a:avLst/>
        </a:prstGeom>
        <a:solidFill>
          <a:schemeClr val="bg1"/>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156082"/>
              </a:solidFill>
              <a:latin typeface="HelveticaNeueLT Std Lt"/>
            </a:rPr>
            <a:t>?</a:t>
          </a:r>
        </a:p>
      </xdr:txBody>
    </xdr:sp>
    <xdr:clientData/>
  </xdr:twoCellAnchor>
  <xdr:twoCellAnchor>
    <xdr:from>
      <xdr:col>1</xdr:col>
      <xdr:colOff>15240</xdr:colOff>
      <xdr:row>54</xdr:row>
      <xdr:rowOff>28575</xdr:rowOff>
    </xdr:from>
    <xdr:to>
      <xdr:col>1</xdr:col>
      <xdr:colOff>1343025</xdr:colOff>
      <xdr:row>58</xdr:row>
      <xdr:rowOff>152400</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339090" y="13477875"/>
          <a:ext cx="1327785" cy="885825"/>
          <a:chOff x="685800" y="10372724"/>
          <a:chExt cx="1343025" cy="876301"/>
        </a:xfrm>
      </xdr:grpSpPr>
      <xdr:sp macro="[0]!EmailErrorLog" textlink="">
        <xdr:nvSpPr>
          <xdr:cNvPr id="20" name="Rectangle: Rounded Corners 19">
            <a:extLst>
              <a:ext uri="{FF2B5EF4-FFF2-40B4-BE49-F238E27FC236}">
                <a16:creationId xmlns:a16="http://schemas.microsoft.com/office/drawing/2014/main" id="{00000000-0008-0000-0100-000014000000}"/>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xdr:col>
      <xdr:colOff>492125</xdr:colOff>
      <xdr:row>16</xdr:row>
      <xdr:rowOff>104775</xdr:rowOff>
    </xdr:from>
    <xdr:to>
      <xdr:col>3</xdr:col>
      <xdr:colOff>570230</xdr:colOff>
      <xdr:row>18</xdr:row>
      <xdr:rowOff>146685</xdr:rowOff>
    </xdr:to>
    <xdr:sp macro="[0]!ValveLookup" textlink="">
      <xdr:nvSpPr>
        <xdr:cNvPr id="17" name="Calculate Button">
          <a:extLst>
            <a:ext uri="{FF2B5EF4-FFF2-40B4-BE49-F238E27FC236}">
              <a16:creationId xmlns:a16="http://schemas.microsoft.com/office/drawing/2014/main" id="{00000000-0008-0000-0100-000011000000}"/>
            </a:ext>
          </a:extLst>
        </xdr:cNvPr>
        <xdr:cNvSpPr/>
      </xdr:nvSpPr>
      <xdr:spPr>
        <a:xfrm>
          <a:off x="2568575"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50" b="0" i="0" u="none" spc="100"/>
            <a:t>DISPLAY</a:t>
          </a:r>
          <a:r>
            <a:rPr lang="en-US" sz="1050" b="0" i="0" u="none" spc="100" baseline="0"/>
            <a:t> CV'S</a:t>
          </a:r>
          <a:endParaRPr lang="en-US" sz="1050" b="0" i="0" u="none" spc="100"/>
        </a:p>
      </xdr:txBody>
    </xdr:sp>
    <xdr:clientData/>
  </xdr:twoCellAnchor>
  <xdr:twoCellAnchor>
    <xdr:from>
      <xdr:col>9</xdr:col>
      <xdr:colOff>47627</xdr:colOff>
      <xdr:row>23</xdr:row>
      <xdr:rowOff>28575</xdr:rowOff>
    </xdr:from>
    <xdr:to>
      <xdr:col>9</xdr:col>
      <xdr:colOff>212219</xdr:colOff>
      <xdr:row>23</xdr:row>
      <xdr:rowOff>193167</xdr:rowOff>
    </xdr:to>
    <xdr:sp macro="[0]!DisplayCvCMSG" textlink="">
      <xdr:nvSpPr>
        <xdr:cNvPr id="23" name="?_PI_MSG">
          <a:extLst>
            <a:ext uri="{FF2B5EF4-FFF2-40B4-BE49-F238E27FC236}">
              <a16:creationId xmlns:a16="http://schemas.microsoft.com/office/drawing/2014/main" id="{00000000-0008-0000-0100-000017000000}"/>
            </a:ext>
          </a:extLst>
        </xdr:cNvPr>
        <xdr:cNvSpPr>
          <a:spLocks/>
        </xdr:cNvSpPr>
      </xdr:nvSpPr>
      <xdr:spPr>
        <a:xfrm>
          <a:off x="10039352" y="4962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93134</xdr:colOff>
      <xdr:row>33</xdr:row>
      <xdr:rowOff>215899</xdr:rowOff>
    </xdr:from>
    <xdr:to>
      <xdr:col>4</xdr:col>
      <xdr:colOff>257726</xdr:colOff>
      <xdr:row>33</xdr:row>
      <xdr:rowOff>380491</xdr:rowOff>
    </xdr:to>
    <xdr:sp macro="[0]!ToggleCvC_MSG" textlink="">
      <xdr:nvSpPr>
        <xdr:cNvPr id="24" name="?_PI_MSG">
          <a:extLst>
            <a:ext uri="{FF2B5EF4-FFF2-40B4-BE49-F238E27FC236}">
              <a16:creationId xmlns:a16="http://schemas.microsoft.com/office/drawing/2014/main" id="{00000000-0008-0000-0100-000018000000}"/>
            </a:ext>
          </a:extLst>
        </xdr:cNvPr>
        <xdr:cNvSpPr>
          <a:spLocks/>
        </xdr:cNvSpPr>
      </xdr:nvSpPr>
      <xdr:spPr>
        <a:xfrm>
          <a:off x="5465234" y="74834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6</xdr:col>
      <xdr:colOff>5080</xdr:colOff>
      <xdr:row>29</xdr:row>
      <xdr:rowOff>41698</xdr:rowOff>
    </xdr:from>
    <xdr:to>
      <xdr:col>12</xdr:col>
      <xdr:colOff>412750</xdr:colOff>
      <xdr:row>39</xdr:row>
      <xdr:rowOff>85725</xdr:rowOff>
    </xdr:to>
    <xdr:sp macro="" textlink="">
      <xdr:nvSpPr>
        <xdr:cNvPr id="19" name="CvC_MSG" hidden="1">
          <a:extLst>
            <a:ext uri="{FF2B5EF4-FFF2-40B4-BE49-F238E27FC236}">
              <a16:creationId xmlns:a16="http://schemas.microsoft.com/office/drawing/2014/main" id="{00000000-0008-0000-0100-000013000000}"/>
            </a:ext>
          </a:extLst>
        </xdr:cNvPr>
        <xdr:cNvSpPr/>
      </xdr:nvSpPr>
      <xdr:spPr bwMode="auto">
        <a:xfrm>
          <a:off x="5472430" y="6223423"/>
          <a:ext cx="7237095" cy="314917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Critical Flow Threshold:</a:t>
          </a:r>
        </a:p>
        <a:p>
          <a:pPr algn="ctr"/>
          <a:endParaRPr lang="en-US" sz="1200" b="1" u="sng">
            <a:solidFill>
              <a:schemeClr val="tx2"/>
            </a:solidFill>
          </a:endParaRPr>
        </a:p>
        <a:p>
          <a:pPr rtl="0"/>
          <a:r>
            <a:rPr lang="en-US" sz="1200">
              <a:solidFill>
                <a:schemeClr val="tx1"/>
              </a:solidFill>
            </a:rPr>
            <a:t>For steam, choked (critical) flow is assumed when the downstream absolute pressure is &lt;</a:t>
          </a:r>
          <a:r>
            <a:rPr lang="en-US" sz="1200" b="1">
              <a:solidFill>
                <a:schemeClr val="tx1"/>
              </a:solidFill>
            </a:rPr>
            <a:t> or = 58%</a:t>
          </a:r>
          <a:r>
            <a:rPr lang="en-US" sz="1200">
              <a:solidFill>
                <a:schemeClr val="tx1"/>
              </a:solidFill>
            </a:rPr>
            <a:t> of the upstream absolute pressure (i.e., P2,abs/P1,abs is ≤ 0.577). Equivalently, when the pressure drop is </a:t>
          </a:r>
          <a:r>
            <a:rPr lang="en-US" sz="1200" b="1">
              <a:solidFill>
                <a:schemeClr val="tx1"/>
              </a:solidFill>
            </a:rPr>
            <a:t>≥ or = 42%</a:t>
          </a:r>
          <a:r>
            <a:rPr lang="en-US" sz="1200">
              <a:solidFill>
                <a:schemeClr val="tx1"/>
              </a:solidFill>
            </a:rPr>
            <a:t> of the upstream absolute pressure (i.e., </a:t>
          </a:r>
          <a:r>
            <a:rPr lang="el-GR" sz="1200">
              <a:solidFill>
                <a:schemeClr val="tx1"/>
              </a:solidFill>
            </a:rPr>
            <a:t>Δ</a:t>
          </a:r>
          <a:r>
            <a:rPr lang="en-US" sz="1200">
              <a:solidFill>
                <a:schemeClr val="tx1"/>
              </a:solidFill>
            </a:rPr>
            <a:t>P/P1,abs is&gt;≥ or</a:t>
          </a:r>
          <a:r>
            <a:rPr lang="en-US" sz="1200" baseline="0">
              <a:solidFill>
                <a:schemeClr val="tx1"/>
              </a:solidFill>
            </a:rPr>
            <a:t> = to </a:t>
          </a:r>
          <a:r>
            <a:rPr lang="en-US" sz="1200">
              <a:solidFill>
                <a:schemeClr val="tx1"/>
              </a:solidFill>
            </a:rPr>
            <a:t>0.42).</a:t>
          </a:r>
        </a:p>
        <a:p>
          <a:pPr rtl="0"/>
          <a:endParaRPr lang="en-US" sz="1200">
            <a:solidFill>
              <a:schemeClr val="tx1"/>
            </a:solidFill>
          </a:endParaRPr>
        </a:p>
        <a:p>
          <a:pPr rtl="0"/>
          <a:r>
            <a:rPr lang="en-US" sz="1200">
              <a:solidFill>
                <a:schemeClr val="tx1"/>
              </a:solidFill>
            </a:rPr>
            <a:t>Think of a valve like a doorway. When steam rushes through fast enough, the flow at the narrowest point hits its </a:t>
          </a:r>
          <a:r>
            <a:rPr lang="en-US" sz="1200" b="1">
              <a:solidFill>
                <a:schemeClr val="tx1"/>
              </a:solidFill>
            </a:rPr>
            <a:t>built-in speed limit</a:t>
          </a:r>
          <a:r>
            <a:rPr lang="en-US" sz="1200">
              <a:solidFill>
                <a:schemeClr val="tx1"/>
              </a:solidFill>
            </a:rPr>
            <a:t> (about the speed of sound). Once that happens, </a:t>
          </a:r>
          <a:r>
            <a:rPr lang="en-US" sz="1200" b="1">
              <a:solidFill>
                <a:schemeClr val="tx1"/>
              </a:solidFill>
            </a:rPr>
            <a:t>making the downstream pressure lower won’t push any more flow</a:t>
          </a:r>
          <a:r>
            <a:rPr lang="en-US" sz="1200">
              <a:solidFill>
                <a:schemeClr val="tx1"/>
              </a:solidFill>
            </a:rPr>
            <a:t> through. The doorway is already at max throughput.</a:t>
          </a:r>
        </a:p>
        <a:p>
          <a:pPr rtl="0"/>
          <a:endParaRPr lang="en-US" sz="1200" b="1" u="sng">
            <a:solidFill>
              <a:schemeClr val="tx1"/>
            </a:solidFill>
          </a:endParaRPr>
        </a:p>
        <a:p>
          <a:r>
            <a:rPr lang="en-US" sz="1200">
              <a:solidFill>
                <a:schemeClr val="tx1"/>
              </a:solidFill>
            </a:rPr>
            <a:t>When a steam valve operates in choked (critical) flow, the flow rate is limited by the upstream pressure and valve Cv. Once this condition occurs, lowering the downstream pressure will not increase the steam flow.</a:t>
          </a:r>
        </a:p>
        <a:p>
          <a:r>
            <a:rPr lang="en-US" sz="1200">
              <a:solidFill>
                <a:schemeClr val="tx1"/>
              </a:solidFill>
            </a:rPr>
            <a:t>This means the valve </a:t>
          </a:r>
          <a:r>
            <a:rPr lang="en-US" sz="1200" b="1">
              <a:solidFill>
                <a:schemeClr val="tx1"/>
              </a:solidFill>
            </a:rPr>
            <a:t>cannot deliver additional capacity</a:t>
          </a:r>
          <a:r>
            <a:rPr lang="en-US" sz="1200">
              <a:solidFill>
                <a:schemeClr val="tx1"/>
              </a:solidFill>
            </a:rPr>
            <a:t>, even if the load increases or the downstream pressure drops.</a:t>
          </a:r>
        </a:p>
        <a:p>
          <a:pPr rtl="0"/>
          <a:endParaRPr lang="en-US" sz="12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746760</xdr:colOff>
          <xdr:row>39</xdr:row>
          <xdr:rowOff>266700</xdr:rowOff>
        </xdr:to>
        <xdr:sp macro="" textlink="">
          <xdr:nvSpPr>
            <xdr:cNvPr id="1044" name="Example_MSG"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3</xdr:colOff>
      <xdr:row>33</xdr:row>
      <xdr:rowOff>180975</xdr:rowOff>
    </xdr:from>
    <xdr:to>
      <xdr:col>5</xdr:col>
      <xdr:colOff>328018</xdr:colOff>
      <xdr:row>33</xdr:row>
      <xdr:rowOff>630829</xdr:rowOff>
    </xdr:to>
    <xdr:pic macro="[0]!ToggleExample_MSG">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3"/>
        <a:stretch>
          <a:fillRect/>
        </a:stretch>
      </xdr:blipFill>
      <xdr:spPr>
        <a:xfrm>
          <a:off x="5276853" y="7334250"/>
          <a:ext cx="328015" cy="449854"/>
        </a:xfrm>
        <a:prstGeom prst="rect">
          <a:avLst/>
        </a:prstGeom>
      </xdr:spPr>
    </xdr:pic>
    <xdr:clientData/>
  </xdr:twoCellAnchor>
  <xdr:twoCellAnchor>
    <xdr:from>
      <xdr:col>5</xdr:col>
      <xdr:colOff>200025</xdr:colOff>
      <xdr:row>4</xdr:row>
      <xdr:rowOff>76197</xdr:rowOff>
    </xdr:from>
    <xdr:to>
      <xdr:col>11</xdr:col>
      <xdr:colOff>390525</xdr:colOff>
      <xdr:row>24</xdr:row>
      <xdr:rowOff>234949</xdr:rowOff>
    </xdr:to>
    <xdr:sp macro="" textlink="">
      <xdr:nvSpPr>
        <xdr:cNvPr id="5" name="PI_MSG" hidden="1">
          <a:extLst>
            <a:ext uri="{FF2B5EF4-FFF2-40B4-BE49-F238E27FC236}">
              <a16:creationId xmlns:a16="http://schemas.microsoft.com/office/drawing/2014/main" id="{00000000-0008-0000-0100-000005000000}"/>
            </a:ext>
          </a:extLst>
        </xdr:cNvPr>
        <xdr:cNvSpPr/>
      </xdr:nvSpPr>
      <xdr:spPr bwMode="auto">
        <a:xfrm>
          <a:off x="4981575" y="1133472"/>
          <a:ext cx="5562600" cy="3930652"/>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050" b="1" u="sng">
              <a:solidFill>
                <a:schemeClr val="tx2"/>
              </a:solidFill>
            </a:rPr>
            <a:t>Inlet Pressure [PI]  Notes:</a:t>
          </a:r>
        </a:p>
        <a:p>
          <a:pPr algn="ctr"/>
          <a:endParaRPr lang="en-US" sz="1050" b="1" u="sng">
            <a:solidFill>
              <a:schemeClr val="tx1"/>
            </a:solidFill>
          </a:endParaRPr>
        </a:p>
        <a:p>
          <a:pPr algn="ctr"/>
          <a:r>
            <a:rPr lang="en-US" sz="1050">
              <a:solidFill>
                <a:schemeClr val="tx1"/>
              </a:solidFill>
              <a:effectLst/>
              <a:latin typeface="+mn-lt"/>
              <a:ea typeface="+mn-ea"/>
              <a:cs typeface="+mn-cs"/>
            </a:rPr>
            <a:t>This is </a:t>
          </a:r>
          <a:r>
            <a:rPr lang="en-US" sz="1050" i="1">
              <a:solidFill>
                <a:schemeClr val="tx1"/>
              </a:solidFill>
              <a:effectLst/>
              <a:latin typeface="+mn-lt"/>
              <a:ea typeface="+mn-ea"/>
              <a:cs typeface="+mn-cs"/>
            </a:rPr>
            <a:t>NOT</a:t>
          </a:r>
          <a:r>
            <a:rPr lang="en-US" sz="1050">
              <a:solidFill>
                <a:schemeClr val="tx1"/>
              </a:solidFill>
              <a:effectLst/>
              <a:latin typeface="+mn-lt"/>
              <a:ea typeface="+mn-ea"/>
              <a:cs typeface="+mn-cs"/>
            </a:rPr>
            <a:t> the design inlet pressure of what ever the steam valve is controlling</a:t>
          </a:r>
          <a:r>
            <a:rPr lang="en-US" sz="1050" b="1" baseline="0">
              <a:solidFill>
                <a:schemeClr val="tx1"/>
              </a:solidFill>
              <a:effectLst/>
              <a:latin typeface="+mn-lt"/>
              <a:ea typeface="+mn-ea"/>
              <a:cs typeface="+mn-cs"/>
            </a:rPr>
            <a:t>,</a:t>
          </a:r>
        </a:p>
        <a:p>
          <a:pPr algn="ctr"/>
          <a:endParaRPr lang="en-US" sz="1050" b="1" baseline="0">
            <a:solidFill>
              <a:schemeClr val="tx1"/>
            </a:solidFill>
            <a:effectLst/>
            <a:latin typeface="+mn-lt"/>
            <a:ea typeface="+mn-ea"/>
            <a:cs typeface="+mn-cs"/>
          </a:endParaRPr>
        </a:p>
        <a:p>
          <a:pPr algn="ctr"/>
          <a:r>
            <a:rPr lang="en-US" sz="1100" b="1" u="sng" baseline="0">
              <a:solidFill>
                <a:schemeClr val="tx1"/>
              </a:solidFill>
              <a:effectLst/>
              <a:latin typeface="+mn-lt"/>
              <a:ea typeface="+mn-ea"/>
              <a:cs typeface="+mn-cs"/>
            </a:rPr>
            <a:t>it is the actual available inlet pressure to the valve.</a:t>
          </a:r>
        </a:p>
        <a:p>
          <a:pPr algn="ctr"/>
          <a:endParaRPr lang="en-US" sz="1100" b="1" u="sng" baseline="0">
            <a:solidFill>
              <a:schemeClr val="tx2"/>
            </a:solidFill>
            <a:effectLst/>
            <a:latin typeface="+mn-lt"/>
            <a:ea typeface="+mn-ea"/>
            <a:cs typeface="+mn-cs"/>
          </a:endParaRPr>
        </a:p>
        <a:p>
          <a:pPr algn="l" rtl="0" eaLnBrk="1" latinLnBrk="0" hangingPunct="1"/>
          <a:r>
            <a:rPr lang="en-US" sz="1050" b="1">
              <a:effectLst/>
              <a:latin typeface="+mn-lt"/>
              <a:ea typeface="+mn-ea"/>
              <a:cs typeface="+mn-cs"/>
            </a:rPr>
            <a:t>If the Inlet pressure is </a:t>
          </a:r>
          <a:r>
            <a:rPr lang="en-US" sz="1050" b="1" u="sng">
              <a:effectLst/>
              <a:latin typeface="+mn-lt"/>
              <a:ea typeface="+mn-ea"/>
              <a:cs typeface="+mn-cs"/>
            </a:rPr>
            <a:t>Un-Know,</a:t>
          </a:r>
          <a:r>
            <a:rPr lang="en-US" sz="1050" b="1">
              <a:effectLst/>
              <a:latin typeface="+mn-lt"/>
              <a:ea typeface="+mn-ea"/>
              <a:cs typeface="+mn-cs"/>
            </a:rPr>
            <a:t> you can Utilize  </a:t>
          </a:r>
          <a:r>
            <a:rPr lang="en-US" sz="1050" b="1">
              <a:solidFill>
                <a:sysClr val="windowText" lastClr="000000"/>
              </a:solidFill>
              <a:effectLst/>
              <a:latin typeface="+mn-lt"/>
              <a:ea typeface="+mn-ea"/>
              <a:cs typeface="+mn-cs"/>
            </a:rPr>
            <a:t>the Critical Pressure Drop</a:t>
          </a:r>
          <a:r>
            <a:rPr lang="en-US" sz="1050" b="1" baseline="0">
              <a:solidFill>
                <a:sysClr val="windowText" lastClr="000000"/>
              </a:solidFill>
              <a:effectLst/>
              <a:latin typeface="+mn-lt"/>
              <a:ea typeface="+mn-ea"/>
              <a:cs typeface="+mn-cs"/>
            </a:rPr>
            <a:t> </a:t>
          </a:r>
          <a:r>
            <a:rPr lang="en-US" sz="1050" b="1" baseline="0">
              <a:effectLst/>
              <a:latin typeface="+mn-lt"/>
              <a:ea typeface="+mn-ea"/>
              <a:cs typeface="+mn-cs"/>
            </a:rPr>
            <a:t>Formula</a:t>
          </a:r>
        </a:p>
        <a:p>
          <a:pPr algn="l" rtl="0" eaLnBrk="1" latinLnBrk="0" hangingPunct="1"/>
          <a:endParaRPr lang="en-US" sz="1050" b="1" baseline="0">
            <a:effectLst/>
            <a:latin typeface="+mn-lt"/>
            <a:ea typeface="+mn-ea"/>
            <a:cs typeface="+mn-cs"/>
          </a:endParaRPr>
        </a:p>
        <a:p>
          <a:pPr algn="l" rtl="0" eaLnBrk="1" latinLnBrk="0" hangingPunct="1"/>
          <a:r>
            <a:rPr lang="en-US" sz="1050"/>
            <a:t>The calculator determines the </a:t>
          </a:r>
          <a:r>
            <a:rPr lang="en-US" sz="1050" b="1"/>
            <a:t>minimum inlet pressure required for the valve to reach choked (critical) steam flow</a:t>
          </a:r>
          <a:r>
            <a:rPr lang="en-US" sz="1050"/>
            <a:t> for the specified outlet pressure and flow.</a:t>
          </a:r>
        </a:p>
        <a:p>
          <a:endParaRPr lang="en-US" sz="1050"/>
        </a:p>
        <a:p>
          <a:r>
            <a:rPr lang="en-US" sz="1050"/>
            <a:t>The calculated outlet pressure represents the </a:t>
          </a:r>
          <a:r>
            <a:rPr lang="en-US" sz="1050" b="1"/>
            <a:t>transition point where steam flow becomes choked</a:t>
          </a:r>
          <a:r>
            <a:rPr lang="en-US" sz="1050"/>
            <a:t>.</a:t>
          </a:r>
        </a:p>
        <a:p>
          <a:endParaRPr lang="en-US" sz="1050" b="1"/>
        </a:p>
        <a:p>
          <a:r>
            <a:rPr lang="en-US" sz="1050" b="1"/>
            <a:t>Above this pressure</a:t>
          </a:r>
          <a:br>
            <a:rPr lang="en-US" sz="1050"/>
          </a:br>
          <a:r>
            <a:rPr lang="en-US" sz="1050"/>
            <a:t>The flow is </a:t>
          </a:r>
          <a:r>
            <a:rPr lang="en-US" sz="1050" b="1"/>
            <a:t>subcritical</a:t>
          </a:r>
          <a:r>
            <a:rPr lang="en-US" sz="1050"/>
            <a:t>, meaning the mass flow rate depends on both inlet and outlet pressures.</a:t>
          </a:r>
        </a:p>
        <a:p>
          <a:endParaRPr lang="en-US" sz="1050" b="1"/>
        </a:p>
        <a:p>
          <a:r>
            <a:rPr lang="en-US" sz="1050" b="1"/>
            <a:t>At or below this pressure</a:t>
          </a:r>
          <a:br>
            <a:rPr lang="en-US" sz="1050"/>
          </a:br>
          <a:r>
            <a:rPr lang="en-US" sz="1050"/>
            <a:t>The flow becomes </a:t>
          </a:r>
          <a:r>
            <a:rPr lang="en-US" sz="1050" b="1"/>
            <a:t>choked</a:t>
          </a:r>
          <a:r>
            <a:rPr lang="en-US" sz="1050"/>
            <a:t>, meaning further reductions in downstream pressure will </a:t>
          </a:r>
          <a:r>
            <a:rPr lang="en-US" sz="1050" b="1"/>
            <a:t>not increase the mass flow rate through the valve</a:t>
          </a:r>
          <a:r>
            <a:rPr lang="en-US" sz="1050"/>
            <a:t>.</a:t>
          </a:r>
        </a:p>
        <a:p>
          <a:pPr algn="l" rtl="0" eaLnBrk="1" latinLnBrk="0" hangingPunct="1"/>
          <a:endParaRPr lang="en-US" sz="1050" b="1" baseline="0">
            <a:effectLst/>
            <a:latin typeface="+mn-lt"/>
            <a:ea typeface="+mn-ea"/>
            <a:cs typeface="+mn-cs"/>
          </a:endParaRPr>
        </a:p>
        <a:p>
          <a:pPr algn="l" rtl="0" eaLnBrk="1" latinLnBrk="0" hangingPunct="1"/>
          <a:endParaRPr lang="en-US" sz="1100" b="1">
            <a:solidFill>
              <a:schemeClr val="tx1"/>
            </a:solidFill>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u="sng" baseline="0">
              <a:solidFill>
                <a:schemeClr val="tx1"/>
              </a:solidFill>
              <a:effectLst/>
              <a:latin typeface="+mn-lt"/>
              <a:ea typeface="+mn-ea"/>
              <a:cs typeface="+mn-cs"/>
            </a:rPr>
            <a:t>If this value is Un-Known</a:t>
          </a:r>
          <a:r>
            <a:rPr lang="en-US" sz="1400" b="0" u="sng" baseline="0">
              <a:solidFill>
                <a:schemeClr val="tx1"/>
              </a:solidFill>
              <a:effectLst/>
              <a:latin typeface="+mn-lt"/>
              <a:ea typeface="+mn-ea"/>
              <a:cs typeface="+mn-cs"/>
            </a:rPr>
            <a:t>, </a:t>
          </a:r>
          <a:r>
            <a:rPr lang="en-US" sz="1400" b="1" u="sng" baseline="0">
              <a:solidFill>
                <a:schemeClr val="tx1"/>
              </a:solidFill>
              <a:effectLst/>
              <a:latin typeface="+mn-lt"/>
              <a:ea typeface="+mn-ea"/>
              <a:cs typeface="+mn-cs"/>
            </a:rPr>
            <a:t>Input 0 to calculate </a:t>
          </a:r>
          <a:r>
            <a:rPr lang="en-US" sz="1400" b="0" u="sng" baseline="0">
              <a:solidFill>
                <a:schemeClr val="tx1"/>
              </a:solidFill>
              <a:effectLst/>
              <a:latin typeface="+mn-lt"/>
              <a:ea typeface="+mn-ea"/>
              <a:cs typeface="+mn-cs"/>
            </a:rPr>
            <a:t>a Pressure.</a:t>
          </a:r>
          <a:endParaRPr lang="en-US" sz="1600" b="0">
            <a:solidFill>
              <a:schemeClr val="tx1"/>
            </a:solidFill>
            <a:effectLst/>
          </a:endParaRPr>
        </a:p>
        <a:p>
          <a:pPr algn="l" rtl="0" eaLnBrk="1" latinLnBrk="0" hangingPunct="1"/>
          <a:endParaRPr lang="en-US" sz="1200">
            <a:effectLst/>
          </a:endParaRPr>
        </a:p>
        <a:p>
          <a:pPr algn="ctr"/>
          <a:endParaRPr lang="en-US" sz="1200" b="1" u="sng">
            <a:solidFill>
              <a:schemeClr val="tx2"/>
            </a:solidFill>
          </a:endParaRPr>
        </a:p>
      </xdr:txBody>
    </xdr:sp>
    <xdr:clientData/>
  </xdr:twoCellAnchor>
  <xdr:twoCellAnchor editAs="oneCell">
    <xdr:from>
      <xdr:col>1</xdr:col>
      <xdr:colOff>30956</xdr:colOff>
      <xdr:row>1</xdr:row>
      <xdr:rowOff>7144</xdr:rowOff>
    </xdr:from>
    <xdr:to>
      <xdr:col>1</xdr:col>
      <xdr:colOff>1284260</xdr:colOff>
      <xdr:row>1</xdr:row>
      <xdr:rowOff>486039</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0506" y="111919"/>
          <a:ext cx="1253304" cy="478895"/>
        </a:xfrm>
        <a:prstGeom prst="rect">
          <a:avLst/>
        </a:prstGeom>
      </xdr:spPr>
    </xdr:pic>
    <xdr:clientData/>
  </xdr:twoCellAnchor>
  <xdr:twoCellAnchor editAs="oneCell">
    <xdr:from>
      <xdr:col>6</xdr:col>
      <xdr:colOff>1227456</xdr:colOff>
      <xdr:row>43</xdr:row>
      <xdr:rowOff>95249</xdr:rowOff>
    </xdr:from>
    <xdr:to>
      <xdr:col>7</xdr:col>
      <xdr:colOff>685801</xdr:colOff>
      <xdr:row>44</xdr:row>
      <xdr:rowOff>71754</xdr:rowOff>
    </xdr:to>
    <xdr:sp macro="CalculateOutletVelocity" textlink="">
      <xdr:nvSpPr>
        <xdr:cNvPr id="6" name="btnCalcVelocityCalc">
          <a:extLst>
            <a:ext uri="{FF2B5EF4-FFF2-40B4-BE49-F238E27FC236}">
              <a16:creationId xmlns:a16="http://schemas.microsoft.com/office/drawing/2014/main" id="{00000000-0008-0000-0100-000006000000}"/>
            </a:ext>
          </a:extLst>
        </xdr:cNvPr>
        <xdr:cNvSpPr/>
      </xdr:nvSpPr>
      <xdr:spPr>
        <a:xfrm>
          <a:off x="6694806" y="9944099"/>
          <a:ext cx="1620520" cy="300355"/>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 Velocity</a:t>
          </a:r>
        </a:p>
      </xdr:txBody>
    </xdr:sp>
    <xdr:clientData/>
  </xdr:twoCellAnchor>
  <xdr:twoCellAnchor>
    <xdr:from>
      <xdr:col>9</xdr:col>
      <xdr:colOff>53340</xdr:colOff>
      <xdr:row>35</xdr:row>
      <xdr:rowOff>50800</xdr:rowOff>
    </xdr:from>
    <xdr:to>
      <xdr:col>9</xdr:col>
      <xdr:colOff>217932</xdr:colOff>
      <xdr:row>35</xdr:row>
      <xdr:rowOff>215392</xdr:rowOff>
    </xdr:to>
    <xdr:sp macro="DisplayG36MSG" textlink="">
      <xdr:nvSpPr>
        <xdr:cNvPr id="7" name="?_G36_MSG">
          <a:extLst>
            <a:ext uri="{FF2B5EF4-FFF2-40B4-BE49-F238E27FC236}">
              <a16:creationId xmlns:a16="http://schemas.microsoft.com/office/drawing/2014/main" id="{74CF14BA-74C4-BFEE-8820-32FADEF2B5F3}"/>
            </a:ext>
          </a:extLst>
        </xdr:cNvPr>
        <xdr:cNvSpPr>
          <a:spLocks/>
        </xdr:cNvSpPr>
      </xdr:nvSpPr>
      <xdr:spPr>
        <a:xfrm>
          <a:off x="9563100" y="82423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53340</xdr:colOff>
      <xdr:row>45</xdr:row>
      <xdr:rowOff>48260</xdr:rowOff>
    </xdr:from>
    <xdr:to>
      <xdr:col>9</xdr:col>
      <xdr:colOff>217932</xdr:colOff>
      <xdr:row>45</xdr:row>
      <xdr:rowOff>231140</xdr:rowOff>
    </xdr:to>
    <xdr:sp macro="DisplayG46MSG" textlink="">
      <xdr:nvSpPr>
        <xdr:cNvPr id="10" name="?_G46_MSG">
          <a:extLst>
            <a:ext uri="{FF2B5EF4-FFF2-40B4-BE49-F238E27FC236}">
              <a16:creationId xmlns:a16="http://schemas.microsoft.com/office/drawing/2014/main" id="{D7286845-FD79-08CC-B36D-27698DB5266E}"/>
            </a:ext>
          </a:extLst>
        </xdr:cNvPr>
        <xdr:cNvSpPr>
          <a:spLocks/>
        </xdr:cNvSpPr>
      </xdr:nvSpPr>
      <xdr:spPr>
        <a:xfrm>
          <a:off x="9578340" y="11506835"/>
          <a:ext cx="164592" cy="182880"/>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40</xdr:row>
      <xdr:rowOff>78105</xdr:rowOff>
    </xdr:from>
    <xdr:to>
      <xdr:col>4</xdr:col>
      <xdr:colOff>276860</xdr:colOff>
      <xdr:row>40</xdr:row>
      <xdr:rowOff>249555</xdr:rowOff>
    </xdr:to>
    <xdr:sp macro="DisplaySuggestedSPLMSG" textlink="">
      <xdr:nvSpPr>
        <xdr:cNvPr id="15" name="?_SPL_MSG">
          <a:extLst>
            <a:ext uri="{FF2B5EF4-FFF2-40B4-BE49-F238E27FC236}">
              <a16:creationId xmlns:a16="http://schemas.microsoft.com/office/drawing/2014/main" id="{4C4EC062-73B6-069A-5ED3-51DAF0BF5028}"/>
            </a:ext>
          </a:extLst>
        </xdr:cNvPr>
        <xdr:cNvSpPr/>
      </xdr:nvSpPr>
      <xdr:spPr bwMode="auto">
        <a:xfrm>
          <a:off x="4958080" y="98698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41</xdr:row>
      <xdr:rowOff>78105</xdr:rowOff>
    </xdr:from>
    <xdr:to>
      <xdr:col>4</xdr:col>
      <xdr:colOff>276860</xdr:colOff>
      <xdr:row>41</xdr:row>
      <xdr:rowOff>249555</xdr:rowOff>
    </xdr:to>
    <xdr:sp macro="DisplaySuggestedValveVelMSG" textlink="">
      <xdr:nvSpPr>
        <xdr:cNvPr id="25" name="?_ValveVel_MSG">
          <a:extLst>
            <a:ext uri="{FF2B5EF4-FFF2-40B4-BE49-F238E27FC236}">
              <a16:creationId xmlns:a16="http://schemas.microsoft.com/office/drawing/2014/main" id="{84818B51-0D15-6162-8AD2-AAC8C4FAFBDB}"/>
            </a:ext>
          </a:extLst>
        </xdr:cNvPr>
        <xdr:cNvSpPr/>
      </xdr:nvSpPr>
      <xdr:spPr bwMode="auto">
        <a:xfrm>
          <a:off x="4958080" y="1019746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42</xdr:row>
      <xdr:rowOff>78105</xdr:rowOff>
    </xdr:from>
    <xdr:to>
      <xdr:col>4</xdr:col>
      <xdr:colOff>276860</xdr:colOff>
      <xdr:row>42</xdr:row>
      <xdr:rowOff>249555</xdr:rowOff>
    </xdr:to>
    <xdr:sp macro="DisplaySuggestedInletPipeSizeMSG" textlink="">
      <xdr:nvSpPr>
        <xdr:cNvPr id="26" name="?_InPipeSize_MSG">
          <a:extLst>
            <a:ext uri="{FF2B5EF4-FFF2-40B4-BE49-F238E27FC236}">
              <a16:creationId xmlns:a16="http://schemas.microsoft.com/office/drawing/2014/main" id="{5011DD2D-908B-78E3-5AB9-354CBD2922C3}"/>
            </a:ext>
          </a:extLst>
        </xdr:cNvPr>
        <xdr:cNvSpPr/>
      </xdr:nvSpPr>
      <xdr:spPr bwMode="auto">
        <a:xfrm>
          <a:off x="4958080" y="1052512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43</xdr:row>
      <xdr:rowOff>78105</xdr:rowOff>
    </xdr:from>
    <xdr:to>
      <xdr:col>4</xdr:col>
      <xdr:colOff>276860</xdr:colOff>
      <xdr:row>43</xdr:row>
      <xdr:rowOff>249555</xdr:rowOff>
    </xdr:to>
    <xdr:sp macro="DisplaySuggestedOutletPipeSizeMSG" textlink="">
      <xdr:nvSpPr>
        <xdr:cNvPr id="37" name="?_OutPipeSize_MSG">
          <a:extLst>
            <a:ext uri="{FF2B5EF4-FFF2-40B4-BE49-F238E27FC236}">
              <a16:creationId xmlns:a16="http://schemas.microsoft.com/office/drawing/2014/main" id="{9CD07B05-73BB-34F9-B52F-D9B7E6A634CC}"/>
            </a:ext>
          </a:extLst>
        </xdr:cNvPr>
        <xdr:cNvSpPr/>
      </xdr:nvSpPr>
      <xdr:spPr bwMode="auto">
        <a:xfrm>
          <a:off x="4958080" y="108527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44</xdr:row>
      <xdr:rowOff>78105</xdr:rowOff>
    </xdr:from>
    <xdr:to>
      <xdr:col>4</xdr:col>
      <xdr:colOff>276860</xdr:colOff>
      <xdr:row>44</xdr:row>
      <xdr:rowOff>249555</xdr:rowOff>
    </xdr:to>
    <xdr:sp macro="DisplaySuggestedInletPipeVelMSG" textlink="">
      <xdr:nvSpPr>
        <xdr:cNvPr id="41" name="?_InPipeVel_MSG" hidden="1">
          <a:extLst>
            <a:ext uri="{FF2B5EF4-FFF2-40B4-BE49-F238E27FC236}">
              <a16:creationId xmlns:a16="http://schemas.microsoft.com/office/drawing/2014/main" id="{FA6D45BC-48F8-AC36-2AC5-D83754FA8054}"/>
            </a:ext>
          </a:extLst>
        </xdr:cNvPr>
        <xdr:cNvSpPr/>
      </xdr:nvSpPr>
      <xdr:spPr bwMode="auto">
        <a:xfrm>
          <a:off x="4958080" y="111804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45</xdr:row>
      <xdr:rowOff>78105</xdr:rowOff>
    </xdr:from>
    <xdr:to>
      <xdr:col>4</xdr:col>
      <xdr:colOff>276860</xdr:colOff>
      <xdr:row>45</xdr:row>
      <xdr:rowOff>249555</xdr:rowOff>
    </xdr:to>
    <xdr:sp macro="DisplaySuggestedOutletPipeVelMSG" textlink="">
      <xdr:nvSpPr>
        <xdr:cNvPr id="43" name="?_OutPipeVel_MSG" hidden="1">
          <a:extLst>
            <a:ext uri="{FF2B5EF4-FFF2-40B4-BE49-F238E27FC236}">
              <a16:creationId xmlns:a16="http://schemas.microsoft.com/office/drawing/2014/main" id="{0F9241F1-5971-454D-7677-0415D547486E}"/>
            </a:ext>
          </a:extLst>
        </xdr:cNvPr>
        <xdr:cNvSpPr/>
      </xdr:nvSpPr>
      <xdr:spPr bwMode="auto">
        <a:xfrm>
          <a:off x="4958080" y="115081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222250</xdr:colOff>
      <xdr:row>18</xdr:row>
      <xdr:rowOff>6350</xdr:rowOff>
    </xdr:from>
    <xdr:to>
      <xdr:col>4</xdr:col>
      <xdr:colOff>387350</xdr:colOff>
      <xdr:row>19</xdr:row>
      <xdr:rowOff>10160</xdr:rowOff>
    </xdr:to>
    <xdr:sp macro="DisplayMinFlowMSG" textlink="">
      <xdr:nvSpPr>
        <xdr:cNvPr id="2" name="?_MinFlow_MSG">
          <a:extLst>
            <a:ext uri="{FF2B5EF4-FFF2-40B4-BE49-F238E27FC236}">
              <a16:creationId xmlns:a16="http://schemas.microsoft.com/office/drawing/2014/main" id="{2E6C302E-003B-42DE-92A4-8D7CA7A3DB2D}"/>
            </a:ext>
          </a:extLst>
        </xdr:cNvPr>
        <xdr:cNvSpPr/>
      </xdr:nvSpPr>
      <xdr:spPr bwMode="auto">
        <a:xfrm>
          <a:off x="5068570" y="364871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26</xdr:col>
      <xdr:colOff>127635</xdr:colOff>
      <xdr:row>5</xdr:row>
      <xdr:rowOff>70484</xdr:rowOff>
    </xdr:from>
    <xdr:to>
      <xdr:col>28</xdr:col>
      <xdr:colOff>320040</xdr:colOff>
      <xdr:row>8</xdr:row>
      <xdr:rowOff>20403</xdr:rowOff>
    </xdr:to>
    <xdr:pic macro="[0]!EmailSummarySheet">
      <xdr:nvPicPr>
        <xdr:cNvPr id="4" name="Picture 3" descr="Image result for send email pics">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22858095" y="1213484"/>
          <a:ext cx="1411605"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769620</xdr:colOff>
          <xdr:row>0</xdr:row>
          <xdr:rowOff>114300</xdr:rowOff>
        </xdr:from>
        <xdr:to>
          <xdr:col>6</xdr:col>
          <xdr:colOff>335280</xdr:colOff>
          <xdr:row>2</xdr:row>
          <xdr:rowOff>106680</xdr:rowOff>
        </xdr:to>
        <xdr:sp macro="" textlink="">
          <xdr:nvSpPr>
            <xdr:cNvPr id="19457" name="btnCalcVelocity"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Outlet Velocity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U34"/>
  <sheetViews>
    <sheetView workbookViewId="0">
      <selection activeCell="H14" sqref="H14"/>
    </sheetView>
  </sheetViews>
  <sheetFormatPr defaultColWidth="9.109375" defaultRowHeight="13.2" x14ac:dyDescent="0.25"/>
  <cols>
    <col min="1" max="1" width="32.33203125" style="1" customWidth="1"/>
    <col min="2" max="2" width="9.109375" style="1"/>
    <col min="3" max="3" width="17.88671875" style="1" customWidth="1"/>
    <col min="4" max="4" width="17.33203125" style="1" customWidth="1"/>
    <col min="5" max="5" width="32.88671875" style="1" customWidth="1"/>
    <col min="6" max="12" width="9.109375" style="1"/>
    <col min="13" max="13" width="19.44140625" style="1" customWidth="1"/>
    <col min="14" max="14" width="11.109375" style="1" customWidth="1"/>
    <col min="15" max="15" width="9.109375" style="1"/>
    <col min="16" max="16" width="10.88671875" style="1" customWidth="1"/>
    <col min="17" max="17" width="9.109375" style="1"/>
    <col min="18" max="18" width="13.5546875" style="1" customWidth="1"/>
    <col min="19" max="19" width="11.44140625" style="1" customWidth="1"/>
    <col min="20" max="20" width="10.88671875" style="1" customWidth="1"/>
    <col min="21" max="16384" width="9.109375" style="1"/>
  </cols>
  <sheetData>
    <row r="1" spans="1:21" x14ac:dyDescent="0.25">
      <c r="A1" s="398" t="s">
        <v>509</v>
      </c>
      <c r="B1" s="398" t="s">
        <v>510</v>
      </c>
      <c r="C1" s="398" t="s">
        <v>511</v>
      </c>
      <c r="D1" s="398" t="s">
        <v>512</v>
      </c>
      <c r="E1" s="64"/>
      <c r="F1" s="57" t="s">
        <v>513</v>
      </c>
      <c r="G1" s="57"/>
      <c r="H1" s="57"/>
      <c r="I1" s="57"/>
      <c r="J1" s="57"/>
      <c r="K1" s="57"/>
      <c r="L1" s="57"/>
      <c r="M1" s="91" t="s">
        <v>83</v>
      </c>
      <c r="N1" s="91" t="s">
        <v>84</v>
      </c>
      <c r="O1" s="91" t="s">
        <v>85</v>
      </c>
      <c r="P1" s="91" t="s">
        <v>157</v>
      </c>
      <c r="Q1" s="91" t="s">
        <v>154</v>
      </c>
      <c r="R1" s="91" t="s">
        <v>260</v>
      </c>
      <c r="S1" s="91" t="s">
        <v>259</v>
      </c>
      <c r="T1" s="91" t="s">
        <v>268</v>
      </c>
      <c r="U1" s="91" t="s">
        <v>376</v>
      </c>
    </row>
    <row r="2" spans="1:21" x14ac:dyDescent="0.25">
      <c r="A2" s="399">
        <v>0.5</v>
      </c>
      <c r="B2" s="399">
        <v>0.84</v>
      </c>
      <c r="C2" s="400">
        <v>0.109</v>
      </c>
      <c r="D2" s="399">
        <v>0.14699999999999999</v>
      </c>
      <c r="E2" s="399"/>
      <c r="F2" s="53"/>
      <c r="G2" s="59"/>
      <c r="H2" s="59"/>
      <c r="I2" s="59"/>
      <c r="J2" s="59"/>
      <c r="K2" s="59"/>
      <c r="L2" s="59"/>
      <c r="M2" s="54" t="s">
        <v>89</v>
      </c>
      <c r="N2" s="54" t="s">
        <v>20</v>
      </c>
      <c r="O2" s="54" t="s">
        <v>82</v>
      </c>
      <c r="P2" s="54" t="s">
        <v>92</v>
      </c>
      <c r="Q2" s="54" t="s">
        <v>254</v>
      </c>
      <c r="R2" s="1" t="s">
        <v>255</v>
      </c>
      <c r="S2" s="54" t="s">
        <v>258</v>
      </c>
      <c r="T2" s="54" t="s">
        <v>92</v>
      </c>
      <c r="U2" s="54" t="s">
        <v>94</v>
      </c>
    </row>
    <row r="3" spans="1:21" x14ac:dyDescent="0.25">
      <c r="A3" s="64">
        <v>0.75</v>
      </c>
      <c r="B3" s="399">
        <v>1.05</v>
      </c>
      <c r="C3" s="400">
        <v>0.113</v>
      </c>
      <c r="D3" s="399">
        <v>0.154</v>
      </c>
      <c r="E3" s="64"/>
      <c r="F3" s="58"/>
      <c r="G3" s="57"/>
      <c r="H3" s="57"/>
      <c r="I3" s="57"/>
      <c r="J3" s="57"/>
      <c r="K3" s="57"/>
      <c r="L3" s="57"/>
      <c r="M3" s="54" t="s">
        <v>87</v>
      </c>
      <c r="N3" s="54" t="s">
        <v>17</v>
      </c>
      <c r="O3" s="54" t="s">
        <v>81</v>
      </c>
      <c r="P3" s="54" t="s">
        <v>375</v>
      </c>
      <c r="Q3" s="54" t="s">
        <v>251</v>
      </c>
      <c r="R3" s="1" t="s">
        <v>256</v>
      </c>
      <c r="S3" s="54" t="s">
        <v>251</v>
      </c>
      <c r="T3" s="54" t="s">
        <v>375</v>
      </c>
      <c r="U3" s="54" t="s">
        <v>302</v>
      </c>
    </row>
    <row r="4" spans="1:21" x14ac:dyDescent="0.25">
      <c r="A4" s="64">
        <v>1</v>
      </c>
      <c r="B4" s="64">
        <v>1.3149999999999999</v>
      </c>
      <c r="C4" s="401">
        <v>0.13300000000000001</v>
      </c>
      <c r="D4" s="64">
        <v>0.17899999999999999</v>
      </c>
      <c r="E4" s="64"/>
      <c r="F4" s="92"/>
      <c r="G4" s="57"/>
      <c r="H4" s="57"/>
      <c r="I4" s="57"/>
      <c r="J4" s="57"/>
      <c r="K4" s="57"/>
      <c r="L4" s="57"/>
      <c r="M4" s="54" t="s">
        <v>86</v>
      </c>
      <c r="O4" s="54" t="s">
        <v>18</v>
      </c>
      <c r="Q4" s="54" t="s">
        <v>110</v>
      </c>
    </row>
    <row r="5" spans="1:21" x14ac:dyDescent="0.25">
      <c r="A5" s="64">
        <v>1.25</v>
      </c>
      <c r="B5" s="402">
        <v>1.66</v>
      </c>
      <c r="C5" s="401">
        <v>0.14000000000000001</v>
      </c>
      <c r="D5" s="64">
        <v>0.191</v>
      </c>
      <c r="E5" s="64"/>
      <c r="F5" s="57"/>
      <c r="G5" s="57"/>
      <c r="H5" s="57"/>
      <c r="I5" s="57"/>
      <c r="J5" s="57"/>
      <c r="K5" s="57"/>
      <c r="L5" s="57"/>
      <c r="M5" s="54" t="s">
        <v>88</v>
      </c>
      <c r="O5" s="54" t="s">
        <v>21</v>
      </c>
      <c r="Q5" s="54" t="s">
        <v>250</v>
      </c>
    </row>
    <row r="6" spans="1:21" x14ac:dyDescent="0.25">
      <c r="A6" s="64">
        <v>1.5</v>
      </c>
      <c r="B6" s="403">
        <v>1.9</v>
      </c>
      <c r="C6" s="404">
        <v>0.14499999999999999</v>
      </c>
      <c r="D6" s="64">
        <v>0.2</v>
      </c>
      <c r="E6" s="64"/>
      <c r="F6" s="57"/>
      <c r="G6" s="57"/>
      <c r="H6" s="57"/>
      <c r="I6" s="57"/>
      <c r="J6" s="57"/>
      <c r="K6" s="57"/>
      <c r="L6" s="57"/>
      <c r="O6" s="54" t="s">
        <v>373</v>
      </c>
      <c r="Q6" s="54" t="s">
        <v>248</v>
      </c>
    </row>
    <row r="7" spans="1:21" x14ac:dyDescent="0.25">
      <c r="A7" s="64">
        <v>2</v>
      </c>
      <c r="B7" s="405">
        <v>2.375</v>
      </c>
      <c r="C7" s="404">
        <v>0.154</v>
      </c>
      <c r="D7" s="64">
        <v>0.218</v>
      </c>
      <c r="E7" s="64"/>
      <c r="F7" s="58"/>
      <c r="G7" s="57"/>
      <c r="H7" s="57"/>
      <c r="I7" s="57"/>
      <c r="J7" s="57"/>
      <c r="K7" s="57"/>
      <c r="L7" s="57"/>
      <c r="Q7" s="54" t="s">
        <v>249</v>
      </c>
    </row>
    <row r="8" spans="1:21" x14ac:dyDescent="0.25">
      <c r="A8" s="64">
        <v>2.5</v>
      </c>
      <c r="B8" s="406">
        <v>2.875</v>
      </c>
      <c r="C8" s="401">
        <v>0.20300000000000001</v>
      </c>
      <c r="D8" s="64">
        <v>0.27600000000000002</v>
      </c>
      <c r="E8" s="64"/>
      <c r="F8" s="58"/>
      <c r="G8" s="57"/>
      <c r="H8" s="57"/>
      <c r="I8" s="57"/>
      <c r="J8" s="57"/>
      <c r="K8" s="57"/>
      <c r="L8" s="57"/>
    </row>
    <row r="9" spans="1:21" x14ac:dyDescent="0.25">
      <c r="A9" s="64">
        <v>3</v>
      </c>
      <c r="B9" s="64">
        <v>3.5</v>
      </c>
      <c r="C9" s="401">
        <v>0.216</v>
      </c>
      <c r="D9" s="64">
        <v>0.3</v>
      </c>
      <c r="E9" s="64"/>
      <c r="F9" s="58"/>
      <c r="G9" s="57"/>
      <c r="H9" s="57"/>
      <c r="I9" s="57"/>
      <c r="J9" s="57"/>
      <c r="K9" s="57"/>
      <c r="L9" s="57"/>
    </row>
    <row r="10" spans="1:21" x14ac:dyDescent="0.25">
      <c r="A10" s="64">
        <v>4</v>
      </c>
      <c r="B10" s="403">
        <v>4.5</v>
      </c>
      <c r="C10" s="404">
        <v>0.23699999999999999</v>
      </c>
      <c r="D10" s="64">
        <v>0.33700000000000002</v>
      </c>
      <c r="E10" s="64"/>
      <c r="F10" s="58"/>
      <c r="G10" s="57"/>
      <c r="H10" s="57"/>
      <c r="I10" s="57"/>
      <c r="J10" s="57"/>
      <c r="K10" s="57"/>
      <c r="L10" s="57"/>
    </row>
    <row r="11" spans="1:21" x14ac:dyDescent="0.25">
      <c r="A11" s="64">
        <v>5</v>
      </c>
      <c r="B11" s="405">
        <v>5.5629999999999997</v>
      </c>
      <c r="C11" s="404">
        <v>0.25800000000000001</v>
      </c>
      <c r="D11" s="64">
        <v>0.375</v>
      </c>
      <c r="E11" s="64"/>
      <c r="F11" s="58"/>
      <c r="G11" s="57"/>
      <c r="H11" s="57"/>
      <c r="I11" s="57"/>
      <c r="J11" s="57"/>
      <c r="K11" s="57"/>
      <c r="L11" s="57"/>
    </row>
    <row r="12" spans="1:21" x14ac:dyDescent="0.25">
      <c r="A12" s="64">
        <v>6</v>
      </c>
      <c r="B12" s="406">
        <v>6.625</v>
      </c>
      <c r="C12" s="401">
        <v>0.28000000000000003</v>
      </c>
      <c r="D12" s="64">
        <v>0.432</v>
      </c>
      <c r="E12" s="64"/>
      <c r="F12" s="57"/>
      <c r="G12" s="57"/>
      <c r="H12" s="57"/>
      <c r="I12" s="57"/>
      <c r="J12" s="57"/>
      <c r="K12" s="57"/>
      <c r="L12" s="57"/>
    </row>
    <row r="13" spans="1:21" x14ac:dyDescent="0.25">
      <c r="A13" s="64">
        <v>8</v>
      </c>
      <c r="B13" s="406">
        <v>8.625</v>
      </c>
      <c r="C13" s="401">
        <v>0.32200000000000001</v>
      </c>
      <c r="D13" s="64">
        <v>0.5</v>
      </c>
      <c r="E13" s="64"/>
      <c r="F13" s="57"/>
      <c r="G13" s="57"/>
      <c r="H13" s="57"/>
      <c r="I13" s="57"/>
      <c r="J13" s="57"/>
      <c r="K13" s="57"/>
      <c r="L13" s="57"/>
    </row>
    <row r="14" spans="1:21" x14ac:dyDescent="0.25">
      <c r="A14" s="64">
        <v>10</v>
      </c>
      <c r="B14" s="146">
        <v>10.75</v>
      </c>
      <c r="C14" s="401">
        <v>0.36499999999999999</v>
      </c>
      <c r="D14" s="64">
        <v>0.59399999999999997</v>
      </c>
      <c r="E14" s="64"/>
      <c r="F14" s="94"/>
      <c r="H14" s="57"/>
      <c r="I14" s="57"/>
      <c r="J14" s="57"/>
      <c r="K14" s="57"/>
      <c r="L14" s="57"/>
    </row>
    <row r="15" spans="1:21" x14ac:dyDescent="0.25">
      <c r="A15" s="64">
        <v>12</v>
      </c>
      <c r="B15" s="406">
        <v>12.75</v>
      </c>
      <c r="C15" s="401">
        <v>0.40600000000000003</v>
      </c>
      <c r="D15" s="64">
        <v>0.68799999999999994</v>
      </c>
      <c r="E15" s="64"/>
      <c r="F15" s="57"/>
      <c r="G15" s="57"/>
      <c r="H15" s="57"/>
      <c r="I15" s="57"/>
      <c r="J15" s="57"/>
      <c r="K15" s="57"/>
      <c r="L15" s="57"/>
    </row>
    <row r="16" spans="1:21" x14ac:dyDescent="0.25">
      <c r="B16" s="57"/>
      <c r="C16" s="55"/>
      <c r="D16" s="57"/>
      <c r="E16" s="57"/>
      <c r="F16" s="57"/>
      <c r="G16" s="57"/>
      <c r="H16" s="57"/>
      <c r="I16" s="57"/>
      <c r="J16" s="57"/>
      <c r="K16" s="57"/>
      <c r="L16" s="57"/>
    </row>
    <row r="17" spans="1:12" x14ac:dyDescent="0.25">
      <c r="B17" s="57"/>
      <c r="C17" s="55"/>
      <c r="D17" s="57"/>
      <c r="E17" s="57"/>
      <c r="F17" s="57"/>
      <c r="G17" s="57"/>
      <c r="H17" s="57"/>
      <c r="I17" s="57"/>
      <c r="J17" s="57"/>
      <c r="K17" s="57"/>
      <c r="L17" s="57"/>
    </row>
    <row r="18" spans="1:12" x14ac:dyDescent="0.25">
      <c r="A18" s="397" t="s">
        <v>514</v>
      </c>
      <c r="B18" s="60"/>
      <c r="C18" s="55"/>
      <c r="D18" s="57"/>
      <c r="E18" s="57"/>
      <c r="F18" s="57"/>
      <c r="H18" s="57"/>
      <c r="I18" s="57"/>
      <c r="K18" s="57"/>
      <c r="L18" s="57"/>
    </row>
    <row r="19" spans="1:12" x14ac:dyDescent="0.25">
      <c r="A19" s="1" t="s">
        <v>515</v>
      </c>
      <c r="B19" s="60">
        <v>0.9</v>
      </c>
      <c r="C19" s="55" t="s">
        <v>516</v>
      </c>
      <c r="D19" s="57"/>
      <c r="E19" s="57"/>
      <c r="F19" s="57"/>
      <c r="H19" s="95"/>
      <c r="K19" s="57"/>
      <c r="L19" s="57"/>
    </row>
    <row r="20" spans="1:12" x14ac:dyDescent="0.25">
      <c r="A20" s="1" t="s">
        <v>517</v>
      </c>
      <c r="B20" s="63">
        <v>0.46</v>
      </c>
      <c r="C20" s="55" t="s">
        <v>518</v>
      </c>
      <c r="D20" s="57"/>
      <c r="E20" s="57"/>
      <c r="F20" s="57"/>
      <c r="G20" s="57"/>
      <c r="H20" s="57"/>
      <c r="I20" s="57"/>
      <c r="J20" s="57"/>
      <c r="K20" s="57"/>
      <c r="L20" s="57"/>
    </row>
    <row r="21" spans="1:12" x14ac:dyDescent="0.25">
      <c r="B21" s="57"/>
      <c r="C21" s="55"/>
      <c r="D21" s="57"/>
      <c r="E21" s="57"/>
      <c r="F21" s="57"/>
      <c r="G21" s="57"/>
      <c r="H21" s="57"/>
      <c r="I21" s="57"/>
      <c r="J21" s="57"/>
      <c r="K21" s="57"/>
      <c r="L21" s="57"/>
    </row>
    <row r="22" spans="1:12" x14ac:dyDescent="0.25">
      <c r="A22" s="397" t="s">
        <v>532</v>
      </c>
      <c r="B22" s="57"/>
      <c r="C22" s="55"/>
      <c r="D22" s="57"/>
      <c r="E22" s="57"/>
      <c r="F22" s="57"/>
      <c r="G22" s="57"/>
      <c r="H22" s="57"/>
      <c r="I22" s="57"/>
      <c r="J22" s="57"/>
      <c r="K22" s="57"/>
      <c r="L22" s="57"/>
    </row>
    <row r="23" spans="1:12" x14ac:dyDescent="0.25">
      <c r="A23" s="1" t="s">
        <v>533</v>
      </c>
      <c r="B23" s="57" t="s">
        <v>534</v>
      </c>
      <c r="C23" s="55" t="s">
        <v>535</v>
      </c>
      <c r="D23" s="57"/>
      <c r="E23" s="57"/>
      <c r="F23" s="57"/>
      <c r="G23" s="57"/>
      <c r="H23" s="57"/>
      <c r="I23" s="57"/>
      <c r="J23" s="57"/>
      <c r="K23" s="57"/>
      <c r="L23" s="57"/>
    </row>
    <row r="24" spans="1:12" x14ac:dyDescent="0.25">
      <c r="A24" s="1" t="s">
        <v>536</v>
      </c>
      <c r="B24" s="93">
        <v>50</v>
      </c>
      <c r="C24" s="55" t="s">
        <v>537</v>
      </c>
      <c r="D24" s="57"/>
      <c r="E24" s="57"/>
      <c r="F24" s="57"/>
      <c r="G24" s="57"/>
      <c r="H24" s="57"/>
      <c r="I24" s="57"/>
      <c r="J24" s="57"/>
      <c r="K24" s="57"/>
      <c r="L24" s="57"/>
    </row>
    <row r="25" spans="1:12" x14ac:dyDescent="0.25">
      <c r="A25" s="62"/>
      <c r="B25" s="58"/>
      <c r="C25" s="56"/>
      <c r="D25" s="57"/>
      <c r="E25" s="57"/>
      <c r="F25" s="57"/>
      <c r="G25" s="57"/>
      <c r="H25" s="57"/>
      <c r="I25" s="57"/>
      <c r="J25" s="57"/>
      <c r="K25" s="57"/>
      <c r="L25" s="57"/>
    </row>
    <row r="26" spans="1:12" x14ac:dyDescent="0.25">
      <c r="B26" s="58"/>
      <c r="C26" s="55"/>
      <c r="D26" s="57"/>
      <c r="E26" s="57"/>
      <c r="F26" s="57"/>
      <c r="G26" s="57"/>
      <c r="H26" s="57"/>
      <c r="I26" s="57"/>
      <c r="J26" s="57"/>
      <c r="K26" s="57"/>
      <c r="L26" s="57"/>
    </row>
    <row r="27" spans="1:12" x14ac:dyDescent="0.25">
      <c r="B27" s="60"/>
      <c r="C27" s="55"/>
      <c r="D27" s="57"/>
      <c r="E27" s="57"/>
      <c r="F27" s="57"/>
      <c r="G27" s="57"/>
      <c r="H27" s="57"/>
      <c r="I27" s="57"/>
      <c r="J27" s="57"/>
      <c r="K27" s="57"/>
      <c r="L27" s="57"/>
    </row>
    <row r="28" spans="1:12" x14ac:dyDescent="0.25">
      <c r="B28" s="57"/>
      <c r="C28" s="55"/>
      <c r="D28" s="57"/>
      <c r="E28" s="57"/>
      <c r="F28" s="57"/>
      <c r="G28" s="57"/>
      <c r="H28" s="57"/>
      <c r="I28" s="57"/>
      <c r="J28" s="57"/>
      <c r="K28" s="57"/>
      <c r="L28" s="57"/>
    </row>
    <row r="29" spans="1:12" x14ac:dyDescent="0.25">
      <c r="B29" s="58"/>
      <c r="C29" s="55"/>
      <c r="D29" s="57"/>
      <c r="E29" s="57"/>
      <c r="F29" s="57"/>
      <c r="G29" s="57"/>
      <c r="H29" s="57"/>
      <c r="I29" s="57"/>
      <c r="J29" s="57"/>
      <c r="K29" s="57"/>
      <c r="L29" s="57"/>
    </row>
    <row r="30" spans="1:12" x14ac:dyDescent="0.25">
      <c r="B30" s="57"/>
      <c r="C30" s="55"/>
      <c r="D30" s="57"/>
      <c r="E30" s="57"/>
      <c r="F30" s="57"/>
      <c r="G30" s="57"/>
      <c r="H30" s="57"/>
      <c r="I30" s="57"/>
      <c r="J30" s="57"/>
      <c r="K30" s="57"/>
      <c r="L30" s="57"/>
    </row>
    <row r="31" spans="1:12" x14ac:dyDescent="0.25">
      <c r="B31" s="96"/>
      <c r="C31" s="55"/>
      <c r="D31" s="57"/>
      <c r="E31" s="57"/>
      <c r="F31" s="57"/>
      <c r="G31" s="57"/>
      <c r="H31" s="57"/>
      <c r="I31" s="57"/>
      <c r="J31" s="57"/>
      <c r="K31" s="57"/>
      <c r="L31" s="57"/>
    </row>
    <row r="32" spans="1:12" x14ac:dyDescent="0.25">
      <c r="B32" s="57"/>
      <c r="C32" s="55"/>
      <c r="D32" s="57"/>
      <c r="E32" s="57"/>
      <c r="F32" s="57"/>
      <c r="G32" s="57"/>
      <c r="H32" s="57"/>
      <c r="I32" s="57"/>
      <c r="J32" s="57"/>
      <c r="K32" s="57"/>
      <c r="L32" s="57"/>
    </row>
    <row r="33" spans="2:12" x14ac:dyDescent="0.25">
      <c r="B33" s="58"/>
      <c r="C33" s="56"/>
      <c r="D33" s="57"/>
      <c r="E33" s="57"/>
      <c r="F33" s="57"/>
      <c r="G33" s="57"/>
      <c r="H33" s="57"/>
      <c r="I33" s="57"/>
      <c r="J33" s="57"/>
      <c r="K33" s="57"/>
      <c r="L33" s="57"/>
    </row>
    <row r="34" spans="2:12" x14ac:dyDescent="0.25">
      <c r="B34" s="57"/>
      <c r="C34" s="55"/>
      <c r="D34" s="57"/>
      <c r="E34" s="57"/>
      <c r="F34" s="57"/>
      <c r="G34" s="57"/>
      <c r="H34" s="57"/>
      <c r="I34" s="57"/>
      <c r="J34" s="57"/>
      <c r="K34" s="57"/>
      <c r="L34" s="57"/>
    </row>
  </sheetData>
  <sortState xmlns:xlrd2="http://schemas.microsoft.com/office/spreadsheetml/2017/richdata2" ref="P4">
    <sortCondition ref="P4"/>
  </sortState>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67"/>
  <sheetViews>
    <sheetView showGridLines="0" showRowColHeaders="0" tabSelected="1" zoomScale="80" zoomScaleNormal="80" workbookViewId="0">
      <selection activeCell="B2" sqref="B2"/>
      <extLst>
        <ext xmlns:xlsdti="http://schemas.microsoft.com/office/spreadsheetml/2023/showDataTypeIcons" uri="{77bfe23e-c014-4d31-8a63-9c772dbf06b6}">
          <xlsdti:showDataTypeIcons visible="0"/>
        </ext>
      </extLst>
    </sheetView>
  </sheetViews>
  <sheetFormatPr defaultColWidth="9.109375" defaultRowHeight="13.2" x14ac:dyDescent="0.25"/>
  <cols>
    <col min="1" max="1" width="4.6640625" style="301" customWidth="1"/>
    <col min="2" max="2" width="28" style="301" customWidth="1"/>
    <col min="3" max="3" width="15.21875" style="301" customWidth="1"/>
    <col min="4" max="4" width="22.77734375" style="301" customWidth="1"/>
    <col min="5" max="5" width="5.6640625" style="301" customWidth="1"/>
    <col min="6" max="6" width="5.33203125" style="301" customWidth="1"/>
    <col min="7" max="7" width="31.5546875" style="299" customWidth="1"/>
    <col min="8" max="8" width="14.109375" style="301" customWidth="1"/>
    <col min="9" max="9" width="11.33203125" style="301" customWidth="1"/>
    <col min="10" max="10" width="31.21875" style="301" customWidth="1"/>
    <col min="11" max="11" width="9.109375" style="301"/>
    <col min="12" max="12" width="18.6640625" style="301" customWidth="1"/>
    <col min="13" max="13" width="6.44140625" style="301" customWidth="1"/>
    <col min="14" max="14" width="26.5546875" style="302" customWidth="1"/>
    <col min="15" max="15" width="13.6640625" style="301" customWidth="1"/>
    <col min="16" max="16" width="25" style="301" customWidth="1"/>
    <col min="17" max="16384" width="9.109375" style="301"/>
  </cols>
  <sheetData>
    <row r="1" spans="1:26" ht="8.25" customHeight="1" x14ac:dyDescent="0.25">
      <c r="A1" s="300"/>
      <c r="Z1" s="301">
        <v>1</v>
      </c>
    </row>
    <row r="2" spans="1:26" ht="41.25" customHeight="1" x14ac:dyDescent="0.25">
      <c r="E2" s="290" t="s">
        <v>389</v>
      </c>
    </row>
    <row r="3" spans="1:26" x14ac:dyDescent="0.25">
      <c r="B3" s="427"/>
      <c r="C3" s="427"/>
      <c r="D3" s="427"/>
      <c r="H3" s="427"/>
      <c r="I3" s="427"/>
      <c r="J3" s="427"/>
      <c r="K3" s="427"/>
      <c r="L3" s="291"/>
      <c r="M3" s="291"/>
      <c r="N3" s="291"/>
    </row>
    <row r="4" spans="1:26" ht="21" x14ac:dyDescent="0.4">
      <c r="B4" s="289" t="s">
        <v>390</v>
      </c>
      <c r="C4" s="303"/>
      <c r="D4" s="303"/>
    </row>
    <row r="5" spans="1:26" ht="6" customHeight="1" x14ac:dyDescent="0.25">
      <c r="D5" s="291"/>
      <c r="G5" s="304"/>
      <c r="H5" s="304"/>
      <c r="I5" s="304"/>
      <c r="J5" s="304"/>
      <c r="K5" s="304"/>
      <c r="L5" s="304"/>
      <c r="M5" s="304"/>
      <c r="N5" s="304"/>
      <c r="O5" s="298"/>
    </row>
    <row r="6" spans="1:26" ht="18.75" customHeight="1" x14ac:dyDescent="0.25">
      <c r="B6" s="429" t="s">
        <v>90</v>
      </c>
      <c r="C6" s="431"/>
      <c r="D6" s="331" t="s">
        <v>519</v>
      </c>
      <c r="O6" s="298"/>
    </row>
    <row r="7" spans="1:26" ht="3" hidden="1" customHeight="1" x14ac:dyDescent="0.25">
      <c r="B7" s="327"/>
      <c r="C7" s="328"/>
      <c r="D7" s="332"/>
      <c r="O7" s="298"/>
    </row>
    <row r="8" spans="1:26" ht="18.75" customHeight="1" x14ac:dyDescent="0.25">
      <c r="B8" s="429" t="s">
        <v>79</v>
      </c>
      <c r="C8" s="430"/>
      <c r="D8" s="331" t="s">
        <v>519</v>
      </c>
      <c r="O8" s="298"/>
    </row>
    <row r="9" spans="1:26" x14ac:dyDescent="0.25">
      <c r="B9" s="291"/>
      <c r="C9" s="291"/>
      <c r="D9" s="291"/>
      <c r="H9" s="305"/>
      <c r="O9" s="298"/>
    </row>
    <row r="10" spans="1:26" ht="21" x14ac:dyDescent="0.4">
      <c r="B10" s="289" t="s">
        <v>391</v>
      </c>
      <c r="C10" s="303"/>
      <c r="D10" s="303"/>
      <c r="K10" s="305"/>
      <c r="O10" s="298"/>
    </row>
    <row r="11" spans="1:26" ht="6" customHeight="1" x14ac:dyDescent="0.25">
      <c r="B11" s="306"/>
      <c r="C11" s="298"/>
      <c r="D11" s="298"/>
      <c r="O11" s="298"/>
    </row>
    <row r="12" spans="1:26" ht="18.75" customHeight="1" x14ac:dyDescent="0.25">
      <c r="B12" s="325" t="s">
        <v>399</v>
      </c>
      <c r="C12" s="330">
        <v>0</v>
      </c>
      <c r="D12" s="331" t="s">
        <v>18</v>
      </c>
      <c r="I12" s="292"/>
      <c r="O12" s="298"/>
    </row>
    <row r="13" spans="1:26" ht="18.75" customHeight="1" x14ac:dyDescent="0.25">
      <c r="B13" s="325" t="s">
        <v>95</v>
      </c>
      <c r="C13" s="329">
        <v>0</v>
      </c>
      <c r="D13" s="331" t="s">
        <v>92</v>
      </c>
      <c r="O13" s="298"/>
    </row>
    <row r="14" spans="1:26" ht="19.5" customHeight="1" x14ac:dyDescent="0.25">
      <c r="B14" s="325" t="s">
        <v>80</v>
      </c>
      <c r="C14" s="329">
        <v>0</v>
      </c>
      <c r="D14" s="331" t="s">
        <v>92</v>
      </c>
    </row>
    <row r="15" spans="1:26" ht="18.75" customHeight="1" x14ac:dyDescent="0.25">
      <c r="B15" s="325" t="s">
        <v>19</v>
      </c>
      <c r="C15" s="329">
        <v>14.7</v>
      </c>
      <c r="D15" s="331" t="s">
        <v>77</v>
      </c>
    </row>
    <row r="16" spans="1:26" x14ac:dyDescent="0.25">
      <c r="B16" s="295"/>
      <c r="C16" s="307"/>
      <c r="D16" s="307"/>
    </row>
    <row r="17" spans="2:82" x14ac:dyDescent="0.25">
      <c r="B17" s="428"/>
      <c r="C17" s="428"/>
      <c r="D17" s="428"/>
    </row>
    <row r="18" spans="2:82" x14ac:dyDescent="0.25">
      <c r="B18" s="308"/>
      <c r="C18" s="308"/>
      <c r="D18" s="308"/>
    </row>
    <row r="19" spans="2:82" x14ac:dyDescent="0.25">
      <c r="B19" s="308"/>
      <c r="C19" s="308"/>
      <c r="D19" s="293">
        <v>16.7</v>
      </c>
      <c r="K19" s="309" t="s">
        <v>91</v>
      </c>
      <c r="L19" s="309"/>
      <c r="M19" s="309"/>
      <c r="N19" s="310"/>
      <c r="S19" s="82"/>
    </row>
    <row r="20" spans="2:82" ht="21.75" customHeight="1" x14ac:dyDescent="0.25">
      <c r="B20" s="308"/>
      <c r="C20" s="308"/>
      <c r="D20" s="293">
        <v>25.954820257724354</v>
      </c>
      <c r="G20" s="434" t="str">
        <f xml:space="preserve"> "C O R R E C T E D   P R E S S U R E   D R O P   
[H] &amp; [Q]   B A S E D   O N   V A L V E " &amp; CoeffType</f>
        <v>C O R R E C T E D   P R E S S U R E   D R O P   
[H] &amp; [Q]   B A S E D   O N   V A L V E Cv</v>
      </c>
      <c r="H20" s="434"/>
      <c r="I20" s="434"/>
      <c r="K20" s="309"/>
      <c r="L20" s="309"/>
      <c r="M20" s="309"/>
      <c r="N20" s="310" t="s">
        <v>272</v>
      </c>
      <c r="S20" s="82"/>
    </row>
    <row r="21" spans="2:82" ht="21" customHeight="1" x14ac:dyDescent="0.4">
      <c r="B21" s="289" t="s">
        <v>392</v>
      </c>
      <c r="C21" s="303"/>
      <c r="D21" s="303"/>
      <c r="G21" s="435"/>
      <c r="H21" s="435"/>
      <c r="I21" s="435"/>
      <c r="J21" s="392"/>
      <c r="K21" s="309"/>
      <c r="L21" s="309"/>
      <c r="M21" s="309" t="s">
        <v>157</v>
      </c>
      <c r="N21" s="311">
        <v>0</v>
      </c>
      <c r="S21" s="82"/>
    </row>
    <row r="22" spans="2:82" ht="16.2" customHeight="1" x14ac:dyDescent="0.25">
      <c r="G22" s="446"/>
      <c r="H22" s="446"/>
      <c r="I22" s="446"/>
      <c r="J22" s="331" t="s">
        <v>553</v>
      </c>
      <c r="K22" s="309"/>
      <c r="L22" s="309"/>
      <c r="M22" s="309" t="s">
        <v>268</v>
      </c>
      <c r="N22" s="311">
        <v>0</v>
      </c>
      <c r="S22" s="82"/>
    </row>
    <row r="23" spans="2:82" ht="18.75" customHeight="1" x14ac:dyDescent="0.25">
      <c r="B23" s="324" t="s">
        <v>273</v>
      </c>
      <c r="C23" s="297">
        <f>Q</f>
        <v>0</v>
      </c>
      <c r="D23" s="312" t="str">
        <f>FlowRate</f>
        <v>LB/HR</v>
      </c>
      <c r="E23" s="316"/>
      <c r="F23" s="316"/>
      <c r="G23" s="325" t="s">
        <v>403</v>
      </c>
      <c r="H23" s="321">
        <v>0</v>
      </c>
      <c r="I23" s="312" t="s">
        <v>94</v>
      </c>
      <c r="J23" s="331" t="s">
        <v>519</v>
      </c>
      <c r="K23" s="415"/>
      <c r="L23" s="309"/>
      <c r="M23" s="309" t="s">
        <v>269</v>
      </c>
      <c r="N23" s="311">
        <v>0</v>
      </c>
      <c r="S23" s="55"/>
    </row>
    <row r="24" spans="2:82" ht="18.75" customHeight="1" x14ac:dyDescent="0.25">
      <c r="B24" s="324" t="str">
        <f>IF(PSI="PSIG","Downstream Psig [DSP]","Downstream Barg [DSP]")</f>
        <v>Downstream Psig [DSP]</v>
      </c>
      <c r="C24" s="319">
        <v>0</v>
      </c>
      <c r="D24" s="312" t="str">
        <f>IF(PSI="PSIG","psig (gauge)","barg (gauge)")</f>
        <v>psig (gauge)</v>
      </c>
      <c r="E24" s="316"/>
      <c r="F24" s="316"/>
      <c r="G24" s="326" t="s">
        <v>382</v>
      </c>
      <c r="H24" s="297">
        <v>0</v>
      </c>
      <c r="I24" s="312" t="s">
        <v>379</v>
      </c>
      <c r="J24" s="391"/>
      <c r="K24" s="309"/>
      <c r="L24" s="309"/>
      <c r="M24" s="309" t="s">
        <v>271</v>
      </c>
      <c r="N24" s="313">
        <v>0</v>
      </c>
      <c r="S24" s="90"/>
    </row>
    <row r="25" spans="2:82" ht="18.75" customHeight="1" x14ac:dyDescent="0.25">
      <c r="B25" s="324" t="s">
        <v>96</v>
      </c>
      <c r="C25" s="319">
        <v>0</v>
      </c>
      <c r="D25" s="312" t="str">
        <f>IF(PSI="PSIG","psig (gauge)","barg (gauge)")</f>
        <v>psig (gauge)</v>
      </c>
      <c r="E25" s="316"/>
      <c r="F25" s="316"/>
      <c r="G25" s="324" t="s">
        <v>387</v>
      </c>
      <c r="H25" s="323">
        <v>0</v>
      </c>
      <c r="I25" s="322" t="s">
        <v>381</v>
      </c>
      <c r="J25" s="82"/>
      <c r="K25" s="309"/>
      <c r="L25" s="309"/>
      <c r="M25" s="309" t="s">
        <v>270</v>
      </c>
      <c r="N25" s="368">
        <v>0</v>
      </c>
      <c r="S25" s="55"/>
    </row>
    <row r="26" spans="2:82" ht="18.75" customHeight="1" x14ac:dyDescent="0.25">
      <c r="B26" s="324" t="s">
        <v>97</v>
      </c>
      <c r="C26" s="319">
        <v>0</v>
      </c>
      <c r="D26" s="312" t="str">
        <f>IF(PSI="PSIG","psig (gauge)","barg (gauge)")</f>
        <v>psig (gauge)</v>
      </c>
      <c r="E26" s="316"/>
      <c r="F26" s="316"/>
      <c r="G26" s="324" t="s">
        <v>383</v>
      </c>
      <c r="H26" s="417">
        <v>0</v>
      </c>
      <c r="I26" s="312"/>
      <c r="K26" s="309"/>
      <c r="L26" s="309"/>
      <c r="M26" s="309"/>
      <c r="N26" s="314" t="s">
        <v>93</v>
      </c>
      <c r="S26" s="55"/>
    </row>
    <row r="27" spans="2:82" ht="18.75" customHeight="1" x14ac:dyDescent="0.25">
      <c r="B27" s="324" t="s">
        <v>98</v>
      </c>
      <c r="C27" s="319">
        <v>0</v>
      </c>
      <c r="D27" s="312" t="str">
        <f>IF(PSI="PSIG","psia (absolute)","bara (absolute)")</f>
        <v>psia (absolute)</v>
      </c>
      <c r="E27" s="316"/>
      <c r="F27" s="316"/>
      <c r="G27" s="324" t="s">
        <v>384</v>
      </c>
      <c r="H27" s="296">
        <v>0</v>
      </c>
      <c r="I27" s="312" t="s">
        <v>380</v>
      </c>
      <c r="K27" s="309"/>
      <c r="L27" s="309"/>
      <c r="M27" s="309"/>
      <c r="N27" s="294" t="s">
        <v>93</v>
      </c>
      <c r="S27" s="55"/>
    </row>
    <row r="28" spans="2:82" ht="18.75" customHeight="1" x14ac:dyDescent="0.25">
      <c r="B28" s="324" t="s">
        <v>386</v>
      </c>
      <c r="C28" s="319">
        <v>0</v>
      </c>
      <c r="D28" s="331" t="s">
        <v>94</v>
      </c>
      <c r="E28" s="316"/>
      <c r="F28" s="316"/>
      <c r="G28" s="324" t="s">
        <v>402</v>
      </c>
      <c r="H28" s="296">
        <v>0</v>
      </c>
      <c r="I28" s="312" t="s">
        <v>380</v>
      </c>
      <c r="K28" s="309"/>
      <c r="L28" s="309"/>
      <c r="M28" s="309"/>
      <c r="N28" s="315" t="s">
        <v>559</v>
      </c>
      <c r="S28" s="55"/>
      <c r="CD28" s="301">
        <v>110.84060954183826</v>
      </c>
    </row>
    <row r="29" spans="2:82" ht="18.75" customHeight="1" x14ac:dyDescent="0.25">
      <c r="B29" s="317"/>
      <c r="C29" s="318" t="s">
        <v>93</v>
      </c>
      <c r="D29" s="316"/>
      <c r="E29" s="316"/>
      <c r="F29" s="316"/>
      <c r="G29" s="324" t="s">
        <v>385</v>
      </c>
      <c r="H29" s="320">
        <v>0</v>
      </c>
      <c r="I29" s="312" t="s">
        <v>388</v>
      </c>
      <c r="K29" s="309"/>
      <c r="L29" s="309"/>
      <c r="M29" s="309"/>
      <c r="N29" s="310"/>
      <c r="S29" s="90"/>
    </row>
    <row r="30" spans="2:82" ht="18.75" customHeight="1" x14ac:dyDescent="0.25">
      <c r="B30" s="436" t="s">
        <v>93</v>
      </c>
      <c r="C30" s="437"/>
      <c r="D30" s="438"/>
      <c r="E30" s="316"/>
      <c r="F30" s="316"/>
      <c r="G30" s="326" t="s">
        <v>400</v>
      </c>
      <c r="H30" s="297">
        <v>0</v>
      </c>
      <c r="I30" s="312" t="s">
        <v>94</v>
      </c>
      <c r="K30" s="309"/>
      <c r="L30" s="309"/>
      <c r="M30" s="309"/>
      <c r="N30" s="310"/>
      <c r="S30" s="55"/>
    </row>
    <row r="31" spans="2:82" ht="18.75" customHeight="1" x14ac:dyDescent="0.25">
      <c r="B31" s="442" t="s">
        <v>93</v>
      </c>
      <c r="C31" s="440"/>
      <c r="D31" s="441"/>
      <c r="E31" s="316"/>
      <c r="F31" s="316"/>
      <c r="G31" s="324" t="s">
        <v>404</v>
      </c>
      <c r="H31" s="369">
        <v>0</v>
      </c>
      <c r="I31" s="322" t="s">
        <v>94</v>
      </c>
      <c r="K31" s="309"/>
      <c r="L31" s="309"/>
      <c r="M31" s="309"/>
      <c r="N31" s="310"/>
      <c r="S31" s="55"/>
    </row>
    <row r="32" spans="2:82" ht="18.75" customHeight="1" x14ac:dyDescent="0.25">
      <c r="B32" s="439" t="s">
        <v>93</v>
      </c>
      <c r="C32" s="440"/>
      <c r="D32" s="441"/>
      <c r="E32" s="316"/>
      <c r="F32" s="316"/>
      <c r="G32" s="324" t="s">
        <v>93</v>
      </c>
      <c r="H32" s="370">
        <v>0</v>
      </c>
      <c r="I32" s="312" t="s">
        <v>381</v>
      </c>
      <c r="K32" s="309">
        <v>2</v>
      </c>
      <c r="L32" s="309"/>
      <c r="M32" s="309"/>
      <c r="N32" s="310"/>
      <c r="S32" s="55"/>
    </row>
    <row r="33" spans="2:19" ht="18" customHeight="1" x14ac:dyDescent="0.25">
      <c r="B33" s="299"/>
      <c r="C33" s="299"/>
      <c r="D33" s="299"/>
      <c r="G33" s="371"/>
      <c r="H33" s="371"/>
      <c r="I33" s="371"/>
      <c r="K33" s="309"/>
      <c r="L33" s="309"/>
      <c r="M33" s="309"/>
      <c r="N33" s="310"/>
      <c r="S33" s="55"/>
    </row>
    <row r="34" spans="2:19" ht="61.2" customHeight="1" x14ac:dyDescent="0.25">
      <c r="B34" s="448" t="s">
        <v>93</v>
      </c>
      <c r="C34" s="451"/>
      <c r="D34" s="451"/>
      <c r="G34" s="447" t="s">
        <v>93</v>
      </c>
      <c r="H34" s="448"/>
      <c r="I34" s="448"/>
      <c r="S34" s="55"/>
    </row>
    <row r="35" spans="2:19" ht="27" customHeight="1" x14ac:dyDescent="0.25">
      <c r="B35" s="444" t="s">
        <v>93</v>
      </c>
      <c r="C35" s="445"/>
      <c r="D35" s="445"/>
      <c r="G35" s="449" t="s">
        <v>93</v>
      </c>
      <c r="H35" s="449"/>
      <c r="I35" s="449"/>
    </row>
    <row r="36" spans="2:19" ht="27" customHeight="1" x14ac:dyDescent="0.25">
      <c r="B36" s="386"/>
      <c r="C36" s="387"/>
      <c r="D36" s="387"/>
      <c r="G36" s="516"/>
      <c r="H36" s="452"/>
      <c r="I36" s="452"/>
    </row>
    <row r="37" spans="2:19" ht="32.4" customHeight="1" x14ac:dyDescent="0.4">
      <c r="B37" s="408" t="s">
        <v>526</v>
      </c>
      <c r="C37" s="408"/>
      <c r="D37" s="408"/>
      <c r="G37" s="453" t="s">
        <v>528</v>
      </c>
      <c r="H37" s="454"/>
      <c r="I37" s="454"/>
    </row>
    <row r="38" spans="2:19" ht="25.95" customHeight="1" x14ac:dyDescent="0.25">
      <c r="B38" s="412" t="s">
        <v>529</v>
      </c>
      <c r="C38" s="432">
        <v>80</v>
      </c>
      <c r="D38" s="433"/>
      <c r="G38"/>
      <c r="H38"/>
      <c r="I38"/>
    </row>
    <row r="39" spans="2:19" ht="25.95" customHeight="1" x14ac:dyDescent="0.25">
      <c r="B39" s="325" t="s">
        <v>530</v>
      </c>
      <c r="C39" s="455"/>
      <c r="D39" s="456"/>
      <c r="G39" s="325" t="s">
        <v>452</v>
      </c>
      <c r="H39" s="330" t="s">
        <v>519</v>
      </c>
      <c r="I39" s="331"/>
    </row>
    <row r="40" spans="2:19" ht="25.95" customHeight="1" x14ac:dyDescent="0.25">
      <c r="B40" s="325" t="s">
        <v>525</v>
      </c>
      <c r="C40" s="455"/>
      <c r="D40" s="456"/>
      <c r="G40" s="325" t="s">
        <v>453</v>
      </c>
      <c r="H40" s="330" t="s">
        <v>427</v>
      </c>
      <c r="I40" s="331"/>
      <c r="L40" s="301" t="s">
        <v>104</v>
      </c>
    </row>
    <row r="41" spans="2:19" ht="25.95" customHeight="1" x14ac:dyDescent="0.25">
      <c r="B41" s="325" t="s">
        <v>527</v>
      </c>
      <c r="C41" s="457"/>
      <c r="D41" s="456"/>
      <c r="G41" s="325" t="s">
        <v>454</v>
      </c>
      <c r="H41" s="330" t="s">
        <v>519</v>
      </c>
      <c r="I41" s="331" t="s">
        <v>455</v>
      </c>
    </row>
    <row r="42" spans="2:19" ht="25.95" customHeight="1" x14ac:dyDescent="0.25">
      <c r="B42" s="325" t="s">
        <v>520</v>
      </c>
      <c r="C42" s="458"/>
      <c r="D42" s="456"/>
      <c r="G42" s="325" t="s">
        <v>456</v>
      </c>
      <c r="H42" s="330" t="s">
        <v>519</v>
      </c>
      <c r="I42" s="331" t="s">
        <v>455</v>
      </c>
    </row>
    <row r="43" spans="2:19" ht="25.95" customHeight="1" x14ac:dyDescent="0.25">
      <c r="B43" s="325" t="s">
        <v>521</v>
      </c>
      <c r="C43" s="455"/>
      <c r="D43" s="456"/>
      <c r="G43" s="325" t="s">
        <v>237</v>
      </c>
      <c r="H43" s="330" t="s">
        <v>519</v>
      </c>
      <c r="I43" s="331" t="s">
        <v>455</v>
      </c>
    </row>
    <row r="44" spans="2:19" ht="25.95" customHeight="1" x14ac:dyDescent="0.25">
      <c r="B44" s="325" t="s">
        <v>456</v>
      </c>
      <c r="C44" s="455"/>
      <c r="D44" s="456"/>
      <c r="G44"/>
      <c r="H44"/>
      <c r="I44"/>
    </row>
    <row r="45" spans="2:19" ht="25.95" customHeight="1" x14ac:dyDescent="0.3">
      <c r="B45" s="418" t="s">
        <v>522</v>
      </c>
      <c r="C45" s="425"/>
      <c r="D45" s="426"/>
      <c r="G45" s="389" t="s">
        <v>458</v>
      </c>
      <c r="H45"/>
      <c r="I45"/>
    </row>
    <row r="46" spans="2:19" ht="25.95" customHeight="1" x14ac:dyDescent="0.25">
      <c r="B46" s="418" t="s">
        <v>523</v>
      </c>
      <c r="C46" s="425"/>
      <c r="D46" s="426"/>
      <c r="G46" s="450"/>
      <c r="H46" s="450"/>
      <c r="I46" s="450"/>
    </row>
    <row r="47" spans="2:19" ht="16.05" customHeight="1" x14ac:dyDescent="0.25">
      <c r="B47" s="301" t="s">
        <v>554</v>
      </c>
      <c r="C47" s="443" t="s">
        <v>555</v>
      </c>
      <c r="D47" s="443"/>
      <c r="G47" s="450"/>
      <c r="H47" s="450"/>
      <c r="I47" s="450"/>
    </row>
    <row r="48" spans="2:19" ht="15" customHeight="1" x14ac:dyDescent="0.25">
      <c r="G48" s="450"/>
      <c r="H48" s="450"/>
      <c r="I48" s="450"/>
    </row>
    <row r="49" spans="2:9" ht="15" customHeight="1" x14ac:dyDescent="0.25">
      <c r="G49" s="450"/>
      <c r="H49" s="450"/>
      <c r="I49" s="450"/>
    </row>
    <row r="50" spans="2:9" ht="15" customHeight="1" x14ac:dyDescent="0.4">
      <c r="B50" s="289" t="s">
        <v>393</v>
      </c>
      <c r="C50" s="303"/>
      <c r="D50" s="303"/>
      <c r="G50" s="411"/>
      <c r="H50" s="411"/>
      <c r="I50"/>
    </row>
    <row r="51" spans="2:9" ht="15" customHeight="1" x14ac:dyDescent="0.25">
      <c r="G51" s="411"/>
      <c r="H51" s="411"/>
      <c r="I51"/>
    </row>
    <row r="52" spans="2:9" ht="15" customHeight="1" x14ac:dyDescent="0.25">
      <c r="G52" s="411"/>
      <c r="H52" s="411"/>
      <c r="I52"/>
    </row>
    <row r="53" spans="2:9" ht="15" customHeight="1" x14ac:dyDescent="0.25">
      <c r="G53" s="388" t="s">
        <v>394</v>
      </c>
      <c r="H53"/>
      <c r="I53"/>
    </row>
    <row r="54" spans="2:9" ht="15" customHeight="1" x14ac:dyDescent="0.25">
      <c r="G54" s="325" t="s">
        <v>395</v>
      </c>
      <c r="H54" s="393">
        <v>2.1</v>
      </c>
      <c r="I54"/>
    </row>
    <row r="55" spans="2:9" ht="15" customHeight="1" x14ac:dyDescent="0.25">
      <c r="G55" s="325" t="s">
        <v>396</v>
      </c>
      <c r="H55" s="390">
        <v>46213</v>
      </c>
      <c r="I55"/>
    </row>
    <row r="56" spans="2:9" ht="15" customHeight="1" x14ac:dyDescent="0.25">
      <c r="G56" s="325" t="s">
        <v>397</v>
      </c>
      <c r="H56" s="325">
        <v>1</v>
      </c>
      <c r="I56"/>
    </row>
    <row r="57" spans="2:9" ht="15" customHeight="1" x14ac:dyDescent="0.25">
      <c r="G57"/>
      <c r="H57"/>
      <c r="I57"/>
    </row>
    <row r="58" spans="2:9" ht="15" customHeight="1" x14ac:dyDescent="0.4">
      <c r="G58" s="407"/>
      <c r="H58"/>
      <c r="I58" s="410"/>
    </row>
    <row r="59" spans="2:9" ht="15" customHeight="1" x14ac:dyDescent="0.25">
      <c r="G59"/>
      <c r="H59"/>
      <c r="I59" s="410"/>
    </row>
    <row r="60" spans="2:9" ht="15" customHeight="1" x14ac:dyDescent="0.3">
      <c r="B60" s="82"/>
      <c r="G60" s="389"/>
      <c r="H60"/>
      <c r="I60" s="410"/>
    </row>
    <row r="61" spans="2:9" ht="15" customHeight="1" x14ac:dyDescent="0.25">
      <c r="G61" s="409"/>
      <c r="H61" s="410"/>
      <c r="I61" s="410"/>
    </row>
    <row r="62" spans="2:9" ht="15" customHeight="1" x14ac:dyDescent="0.25">
      <c r="G62" s="410"/>
      <c r="H62" s="410"/>
      <c r="I62"/>
    </row>
    <row r="63" spans="2:9" ht="15" customHeight="1" x14ac:dyDescent="0.25">
      <c r="G63" s="410"/>
      <c r="H63" s="410"/>
      <c r="I63"/>
    </row>
    <row r="64" spans="2:9" ht="15" customHeight="1" x14ac:dyDescent="0.25">
      <c r="G64" s="410"/>
      <c r="H64" s="410"/>
      <c r="I64"/>
    </row>
    <row r="65" spans="7:8" x14ac:dyDescent="0.25">
      <c r="G65"/>
      <c r="H65"/>
    </row>
    <row r="66" spans="7:8" x14ac:dyDescent="0.25">
      <c r="G66"/>
      <c r="H66"/>
    </row>
    <row r="67" spans="7:8" x14ac:dyDescent="0.25">
      <c r="G67"/>
      <c r="H67"/>
    </row>
  </sheetData>
  <sheetProtection selectLockedCells="1" sort="0" autoFilter="0"/>
  <mergeCells count="27">
    <mergeCell ref="C47:D47"/>
    <mergeCell ref="C46:D46"/>
    <mergeCell ref="B35:D35"/>
    <mergeCell ref="G22:I22"/>
    <mergeCell ref="G34:I34"/>
    <mergeCell ref="G35:I35"/>
    <mergeCell ref="G46:I49"/>
    <mergeCell ref="B34:D34"/>
    <mergeCell ref="G36:I36"/>
    <mergeCell ref="G37:I37"/>
    <mergeCell ref="C39:D39"/>
    <mergeCell ref="C40:D40"/>
    <mergeCell ref="C41:D41"/>
    <mergeCell ref="C42:D42"/>
    <mergeCell ref="C43:D43"/>
    <mergeCell ref="C44:D44"/>
    <mergeCell ref="C45:D45"/>
    <mergeCell ref="B3:D3"/>
    <mergeCell ref="H3:K3"/>
    <mergeCell ref="B17:D17"/>
    <mergeCell ref="B8:C8"/>
    <mergeCell ref="B6:C6"/>
    <mergeCell ref="C38:D38"/>
    <mergeCell ref="G20:I21"/>
    <mergeCell ref="B30:D30"/>
    <mergeCell ref="B32:D32"/>
    <mergeCell ref="B31:D31"/>
  </mergeCells>
  <dataValidations count="4">
    <dataValidation type="list" errorStyle="warning" allowBlank="1" showInputMessage="1" showErrorMessage="1" sqref="H40" xr:uid="{5DC91060-8E9A-485A-93AB-352394EE680B}">
      <formula1>"""Dry Saturated,Wet Saturated,Superheated"""</formula1>
    </dataValidation>
    <dataValidation type="list" errorStyle="warning" allowBlank="1" showInputMessage="1" showErrorMessage="1" sqref="H41 H42 H43" xr:uid="{F07D1931-8845-4E10-88B3-9A8EE24C7CC5}">
      <formula1>"""-Select-,0.5,0.75,1,1.25,1.5,2,2.5,3,4,5,6,8,10,12"""</formula1>
    </dataValidation>
    <dataValidation type="list" allowBlank="1" showInputMessage="1" showErrorMessage="1" sqref="C38" xr:uid="{05C9678B-BE49-4493-B508-114BC28E44E2}">
      <formula1>"50,80,120"</formula1>
    </dataValidation>
    <dataValidation type="list" allowBlank="1" showInputMessage="1" showErrorMessage="1" sqref="C47:D47" xr:uid="{0DD352DF-CD28-4A3B-B90B-E63F607B8CB0}">
      <formula1>"Simple,Detailed"</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44" r:id="rId4">
          <objectPr defaultSize="0" autoPict="0" r:id="rId5">
            <anchor moveWithCells="1">
              <from>
                <xdr:col>6</xdr:col>
                <xdr:colOff>0</xdr:colOff>
                <xdr:row>12</xdr:row>
                <xdr:rowOff>0</xdr:rowOff>
              </from>
              <to>
                <xdr:col>13</xdr:col>
                <xdr:colOff>746760</xdr:colOff>
                <xdr:row>39</xdr:row>
                <xdr:rowOff>266700</xdr:rowOff>
              </to>
            </anchor>
          </objectPr>
        </oleObject>
      </mc:Choice>
      <mc:Fallback>
        <oleObject progId="Word.Document.12" shapeId="1044" r:id="rId4"/>
      </mc:Fallback>
    </mc:AlternateContent>
  </oleObjects>
  <extLst>
    <ext xmlns:x14="http://schemas.microsoft.com/office/spreadsheetml/2009/9/main" uri="{CCE6A557-97BC-4b89-ADB6-D9C93CAAB3DF}">
      <x14:dataValidations xmlns:xm="http://schemas.microsoft.com/office/excel/2006/main" count="9">
        <x14:dataValidation type="list" allowBlank="1" showInputMessage="1" showErrorMessage="1" xr:uid="{EC985738-F84C-4E8D-960D-F9385BF66643}">
          <x14:formula1>
            <xm:f>Config!$M$2:$M$5</xm:f>
          </x14:formula1>
          <xm:sqref>D6</xm:sqref>
        </x14:dataValidation>
        <x14:dataValidation type="list" allowBlank="1" showInputMessage="1" showErrorMessage="1" xr:uid="{801AAE89-F2B2-4E6B-BE4E-79EDAD62BA7E}">
          <x14:formula1>
            <xm:f>Config!$N$2:$N$3</xm:f>
          </x14:formula1>
          <xm:sqref>D8</xm:sqref>
        </x14:dataValidation>
        <x14:dataValidation type="list" allowBlank="1" showInputMessage="1" showErrorMessage="1" xr:uid="{742D3476-33B0-4777-ABB4-C87BD10CCD60}">
          <x14:formula1>
            <xm:f>Config!$O$2:$O$6</xm:f>
          </x14:formula1>
          <xm:sqref>D12</xm:sqref>
        </x14:dataValidation>
        <x14:dataValidation type="list" allowBlank="1" showInputMessage="1" showErrorMessage="1" xr:uid="{DBB40F83-1325-4FE3-AE44-75D02A8F1D7A}">
          <x14:formula1>
            <xm:f>Config!$T$2:$T$3</xm:f>
          </x14:formula1>
          <xm:sqref>D13</xm:sqref>
        </x14:dataValidation>
        <x14:dataValidation type="list" allowBlank="1" showInputMessage="1" showErrorMessage="1" xr:uid="{6C6FA1E3-4304-497F-927A-6A82DCEBD59F}">
          <x14:formula1>
            <xm:f>Config!$P$2:$P$3</xm:f>
          </x14:formula1>
          <xm:sqref>D14</xm:sqref>
        </x14:dataValidation>
        <x14:dataValidation type="list" allowBlank="1" showInputMessage="1" showErrorMessage="1" xr:uid="{BBF478EF-0A63-463F-850E-95907DFB7741}">
          <x14:formula1>
            <xm:f>Config!$U$2:$U$3</xm:f>
          </x14:formula1>
          <xm:sqref>D28</xm:sqref>
        </x14:dataValidation>
        <x14:dataValidation type="list" errorStyle="warning" allowBlank="1" showInputMessage="1" showErrorMessage="1" xr:uid="{C1F6362A-1CEC-4B41-B193-C5A63916E3E0}">
          <x14:formula1>
            <xm:f>Config!$Q$2:$Q$7</xm:f>
          </x14:formula1>
          <xm:sqref>H39</xm:sqref>
        </x14:dataValidation>
        <x14:dataValidation type="list" allowBlank="1" showInputMessage="1" showErrorMessage="1" xr:uid="{43F41A81-A0A2-4C1E-BDC0-A302D88150D0}">
          <x14:formula1>
            <xm:f>BarometricPressure!$C$2:$C$75</xm:f>
          </x14:formula1>
          <xm:sqref>D15</xm:sqref>
        </x14:dataValidation>
        <x14:dataValidation type="list" allowBlank="1" showInputMessage="1" showErrorMessage="1" xr:uid="{55D0486F-BBEB-4529-8B3B-71C2B3ED318F}">
          <x14:formula1>
            <xm:f>Valves!$M$1:$M$60</xm:f>
          </x14:formula1>
          <xm:sqref>J23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4C88E-B138-43E0-81B1-5E5267455227}">
  <sheetPr codeName="Sheet5"/>
  <dimension ref="B2:D27"/>
  <sheetViews>
    <sheetView workbookViewId="0">
      <selection activeCell="I10" sqref="I10"/>
    </sheetView>
  </sheetViews>
  <sheetFormatPr defaultRowHeight="13.2" x14ac:dyDescent="0.25"/>
  <cols>
    <col min="1" max="1" width="4.6640625" customWidth="1"/>
    <col min="2" max="2" width="28" customWidth="1"/>
    <col min="3" max="3" width="26.6640625" customWidth="1"/>
    <col min="4" max="4" width="36.6640625" customWidth="1"/>
  </cols>
  <sheetData>
    <row r="2" spans="2:4" ht="32.4" customHeight="1" x14ac:dyDescent="0.4">
      <c r="B2" s="407" t="s">
        <v>398</v>
      </c>
    </row>
    <row r="3" spans="2:4" ht="14.4" customHeight="1" x14ac:dyDescent="0.25"/>
    <row r="4" spans="2:4" ht="19.2" customHeight="1" x14ac:dyDescent="0.25">
      <c r="B4" s="82"/>
      <c r="C4" s="416" t="s">
        <v>483</v>
      </c>
      <c r="D4" s="416" t="s">
        <v>484</v>
      </c>
    </row>
    <row r="5" spans="2:4" ht="19.2" customHeight="1" x14ac:dyDescent="0.25">
      <c r="B5" s="82" t="s">
        <v>439</v>
      </c>
      <c r="C5" s="419"/>
      <c r="D5" s="420"/>
    </row>
    <row r="6" spans="2:4" ht="19.2" customHeight="1" x14ac:dyDescent="0.25">
      <c r="C6" s="401"/>
      <c r="D6" s="401"/>
    </row>
    <row r="7" spans="2:4" ht="19.2" customHeight="1" x14ac:dyDescent="0.25">
      <c r="B7" s="82" t="s">
        <v>524</v>
      </c>
      <c r="C7" s="398"/>
      <c r="D7" s="401"/>
    </row>
    <row r="10" spans="2:4" ht="18" x14ac:dyDescent="0.35">
      <c r="B10" s="414" t="s">
        <v>539</v>
      </c>
    </row>
    <row r="12" spans="2:4" x14ac:dyDescent="0.25">
      <c r="B12" s="82" t="s">
        <v>540</v>
      </c>
      <c r="C12" s="421" t="s">
        <v>560</v>
      </c>
      <c r="D12" s="421"/>
    </row>
    <row r="13" spans="2:4" ht="14.4" hidden="1" customHeight="1" x14ac:dyDescent="0.25">
      <c r="B13" s="82" t="s">
        <v>541</v>
      </c>
      <c r="C13" s="421" t="s">
        <v>556</v>
      </c>
      <c r="D13" s="421"/>
    </row>
    <row r="14" spans="2:4" ht="16.8" hidden="1" customHeight="1" x14ac:dyDescent="0.25">
      <c r="B14" s="82" t="s">
        <v>542</v>
      </c>
      <c r="C14" s="421" t="s">
        <v>557</v>
      </c>
      <c r="D14" s="421"/>
    </row>
    <row r="15" spans="2:4" ht="14.4" hidden="1" customHeight="1" x14ac:dyDescent="0.25">
      <c r="B15" s="82" t="s">
        <v>543</v>
      </c>
      <c r="C15" s="421">
        <v>31.15</v>
      </c>
      <c r="D15" s="421"/>
    </row>
    <row r="16" spans="2:4" ht="15" hidden="1" customHeight="1" x14ac:dyDescent="0.25">
      <c r="B16" s="82" t="s">
        <v>544</v>
      </c>
      <c r="C16" s="421">
        <v>65</v>
      </c>
      <c r="D16" s="421"/>
    </row>
    <row r="17" spans="2:4" ht="11.4" hidden="1" customHeight="1" x14ac:dyDescent="0.25">
      <c r="B17" s="82" t="s">
        <v>545</v>
      </c>
      <c r="C17" s="421" t="s">
        <v>561</v>
      </c>
      <c r="D17" s="421"/>
    </row>
    <row r="19" spans="2:4" x14ac:dyDescent="0.25">
      <c r="B19" s="82" t="s">
        <v>549</v>
      </c>
      <c r="C19" s="422"/>
      <c r="D19" s="422"/>
    </row>
    <row r="20" spans="2:4" hidden="1" x14ac:dyDescent="0.25">
      <c r="B20" s="82" t="s">
        <v>546</v>
      </c>
      <c r="C20" s="421" t="s">
        <v>562</v>
      </c>
      <c r="D20" s="421"/>
    </row>
    <row r="21" spans="2:4" hidden="1" x14ac:dyDescent="0.25">
      <c r="B21" s="82" t="s">
        <v>547</v>
      </c>
      <c r="C21" s="421" t="s">
        <v>531</v>
      </c>
      <c r="D21" s="421"/>
    </row>
    <row r="22" spans="2:4" hidden="1" x14ac:dyDescent="0.25">
      <c r="B22" s="82" t="s">
        <v>548</v>
      </c>
      <c r="C22" s="421" t="s">
        <v>565</v>
      </c>
      <c r="D22" s="421"/>
    </row>
    <row r="24" spans="2:4" ht="42" customHeight="1" x14ac:dyDescent="0.25">
      <c r="B24" s="82" t="s">
        <v>434</v>
      </c>
      <c r="C24" s="423" t="s">
        <v>558</v>
      </c>
      <c r="D24" s="424"/>
    </row>
    <row r="25" spans="2:4" x14ac:dyDescent="0.25">
      <c r="B25" s="132" t="s">
        <v>550</v>
      </c>
    </row>
    <row r="26" spans="2:4" x14ac:dyDescent="0.25">
      <c r="B26" s="82" t="s">
        <v>551</v>
      </c>
      <c r="C26" s="421" t="s">
        <v>563</v>
      </c>
      <c r="D26" s="421"/>
    </row>
    <row r="27" spans="2:4" x14ac:dyDescent="0.25">
      <c r="B27" s="82" t="s">
        <v>552</v>
      </c>
      <c r="C27" s="421" t="s">
        <v>564</v>
      </c>
      <c r="D27" s="421"/>
    </row>
  </sheetData>
  <mergeCells count="13">
    <mergeCell ref="C17:D17"/>
    <mergeCell ref="C26:D26"/>
    <mergeCell ref="C27:D27"/>
    <mergeCell ref="C12:D12"/>
    <mergeCell ref="C13:D13"/>
    <mergeCell ref="C14:D14"/>
    <mergeCell ref="C15:D15"/>
    <mergeCell ref="C16:D16"/>
    <mergeCell ref="C20:D20"/>
    <mergeCell ref="C21:D21"/>
    <mergeCell ref="C22:D22"/>
    <mergeCell ref="C19:D19"/>
    <mergeCell ref="C24:D2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AB7"/>
  <sheetViews>
    <sheetView showGridLines="0" workbookViewId="0">
      <selection activeCell="T14" sqref="T14"/>
      <extLst>
        <ext xmlns:xlsdti="http://schemas.microsoft.com/office/spreadsheetml/2023/showDataTypeIcons" uri="{77bfe23e-c014-4d31-8a63-9c772dbf06b6}">
          <xlsdti:showDataTypeIcons visible="0"/>
        </ext>
      </extLst>
    </sheetView>
  </sheetViews>
  <sheetFormatPr defaultRowHeight="13.2" x14ac:dyDescent="0.25"/>
  <cols>
    <col min="1" max="1" width="17.44140625" style="336" customWidth="1"/>
    <col min="2" max="2" width="28" style="336" customWidth="1"/>
    <col min="3" max="3" width="12.109375" style="336" customWidth="1"/>
    <col min="4" max="4" width="11.109375" style="336" customWidth="1"/>
    <col min="5" max="5" width="9.109375" style="336"/>
    <col min="6" max="6" width="10.6640625" style="336" customWidth="1"/>
    <col min="7" max="7" width="12" style="336" customWidth="1"/>
    <col min="8" max="8" width="10.33203125" style="336" customWidth="1"/>
    <col min="9" max="9" width="13.44140625" style="336" customWidth="1"/>
    <col min="10" max="10" width="13.6640625" style="337" customWidth="1"/>
    <col min="11" max="11" width="13.33203125" style="336" customWidth="1"/>
    <col min="12" max="12" width="24.44140625" style="336" customWidth="1"/>
    <col min="13" max="13" width="11" style="337" customWidth="1"/>
    <col min="14" max="14" width="8.88671875" style="333"/>
    <col min="15" max="15" width="9.109375" style="341"/>
    <col min="16" max="16" width="37.88671875" style="342" customWidth="1"/>
    <col min="17" max="24" width="24.44140625" style="336" customWidth="1"/>
  </cols>
  <sheetData>
    <row r="1" spans="1:28" s="64" customFormat="1" ht="37.5" customHeight="1" x14ac:dyDescent="0.25">
      <c r="A1" s="338" t="s">
        <v>271</v>
      </c>
      <c r="B1" s="338" t="s">
        <v>83</v>
      </c>
      <c r="C1" s="338" t="s">
        <v>84</v>
      </c>
      <c r="D1" s="339" t="s">
        <v>100</v>
      </c>
      <c r="E1" s="338" t="s">
        <v>440</v>
      </c>
      <c r="F1" s="339" t="s">
        <v>101</v>
      </c>
      <c r="G1" s="338" t="s">
        <v>441</v>
      </c>
      <c r="H1" s="339" t="s">
        <v>102</v>
      </c>
      <c r="I1" s="338" t="s">
        <v>442</v>
      </c>
      <c r="J1" s="340" t="s">
        <v>443</v>
      </c>
      <c r="K1" s="339" t="s">
        <v>103</v>
      </c>
      <c r="L1" s="338" t="s">
        <v>444</v>
      </c>
      <c r="M1" s="340" t="s">
        <v>445</v>
      </c>
      <c r="N1" s="340" t="s">
        <v>446</v>
      </c>
      <c r="O1" s="383" t="s">
        <v>457</v>
      </c>
      <c r="P1" s="384" t="s">
        <v>451</v>
      </c>
      <c r="Q1" s="338" t="s">
        <v>324</v>
      </c>
      <c r="R1" s="338" t="s">
        <v>447</v>
      </c>
      <c r="S1" s="338" t="s">
        <v>448</v>
      </c>
      <c r="T1" s="338" t="s">
        <v>449</v>
      </c>
      <c r="U1" s="338" t="s">
        <v>417</v>
      </c>
      <c r="V1" s="338" t="s">
        <v>450</v>
      </c>
      <c r="W1" s="338" t="s">
        <v>435</v>
      </c>
      <c r="X1" s="338" t="s">
        <v>99</v>
      </c>
      <c r="AB1" s="64">
        <v>0</v>
      </c>
    </row>
    <row r="2" spans="1:28" x14ac:dyDescent="0.25">
      <c r="A2" s="333"/>
      <c r="B2" s="333"/>
      <c r="C2" s="333"/>
      <c r="D2" s="333"/>
      <c r="E2" s="333"/>
      <c r="F2" s="333"/>
      <c r="G2" s="334"/>
      <c r="H2" s="334"/>
      <c r="I2" s="334"/>
      <c r="J2" s="334"/>
      <c r="K2" s="334"/>
      <c r="L2" s="334"/>
      <c r="M2" s="334"/>
      <c r="N2" s="334"/>
      <c r="Q2" s="334"/>
      <c r="R2" s="334"/>
      <c r="S2" s="334"/>
      <c r="T2" s="334"/>
      <c r="U2" s="334"/>
      <c r="V2" s="334"/>
      <c r="W2" s="334"/>
      <c r="X2" s="334"/>
    </row>
    <row r="3" spans="1:28" x14ac:dyDescent="0.25">
      <c r="A3" s="333"/>
      <c r="B3" s="333"/>
      <c r="C3" s="333"/>
      <c r="D3" s="333"/>
      <c r="E3" s="333"/>
      <c r="F3" s="333"/>
      <c r="G3" s="334"/>
      <c r="H3" s="334"/>
      <c r="I3" s="334"/>
      <c r="J3" s="334"/>
      <c r="K3" s="334"/>
      <c r="L3" s="334"/>
      <c r="M3" s="334"/>
      <c r="N3" s="334"/>
      <c r="Q3" s="334"/>
      <c r="R3" s="334"/>
      <c r="S3" s="334"/>
      <c r="T3" s="334"/>
      <c r="U3" s="334"/>
      <c r="V3" s="334"/>
      <c r="W3" s="334"/>
      <c r="X3" s="334"/>
    </row>
    <row r="4" spans="1:28" x14ac:dyDescent="0.25">
      <c r="A4" s="333"/>
      <c r="B4" s="333"/>
      <c r="C4" s="333"/>
      <c r="D4" s="333"/>
      <c r="E4" s="333"/>
      <c r="F4" s="333"/>
      <c r="G4" s="334"/>
      <c r="H4" s="334"/>
      <c r="I4" s="334"/>
      <c r="J4" s="334"/>
      <c r="K4" s="334"/>
      <c r="L4" s="334"/>
      <c r="M4" s="334"/>
      <c r="N4" s="334"/>
      <c r="Q4" s="334"/>
      <c r="R4" s="334"/>
      <c r="S4" s="334"/>
      <c r="T4" s="334"/>
      <c r="U4" s="334"/>
      <c r="V4" s="334"/>
      <c r="W4" s="334"/>
      <c r="X4" s="334"/>
    </row>
    <row r="5" spans="1:28" x14ac:dyDescent="0.25">
      <c r="A5" s="333"/>
      <c r="B5" s="333"/>
      <c r="C5" s="333"/>
      <c r="D5" s="333"/>
      <c r="E5" s="333"/>
      <c r="F5" s="333"/>
      <c r="G5" s="333"/>
      <c r="H5" s="333"/>
      <c r="I5" s="333"/>
      <c r="J5" s="335"/>
      <c r="K5" s="333"/>
      <c r="L5" s="333"/>
      <c r="M5" s="335"/>
      <c r="Q5" s="333"/>
      <c r="R5" s="333"/>
      <c r="S5" s="333"/>
      <c r="T5" s="333"/>
      <c r="U5" s="333"/>
      <c r="V5" s="333"/>
      <c r="W5" s="333"/>
      <c r="X5" s="333"/>
    </row>
    <row r="6" spans="1:28" x14ac:dyDescent="0.25">
      <c r="A6" s="333"/>
      <c r="B6" s="333"/>
      <c r="C6" s="333"/>
      <c r="D6" s="333"/>
      <c r="E6" s="333"/>
      <c r="F6" s="333"/>
      <c r="G6" s="333"/>
      <c r="H6" s="333"/>
      <c r="I6" s="333"/>
      <c r="J6" s="335"/>
      <c r="K6" s="333"/>
      <c r="L6" s="333"/>
      <c r="M6" s="335"/>
      <c r="Q6" s="333"/>
      <c r="R6" s="333"/>
      <c r="S6" s="333"/>
      <c r="T6" s="333"/>
      <c r="U6" s="333"/>
      <c r="V6" s="333"/>
      <c r="W6" s="333"/>
      <c r="X6" s="333"/>
    </row>
    <row r="7" spans="1:28" x14ac:dyDescent="0.25">
      <c r="A7" s="333"/>
      <c r="B7" s="333"/>
      <c r="C7" s="333"/>
      <c r="D7" s="333"/>
      <c r="E7" s="333"/>
      <c r="F7" s="333"/>
      <c r="G7" s="333"/>
      <c r="H7" s="333"/>
      <c r="I7" s="333"/>
      <c r="J7" s="335"/>
      <c r="K7" s="333"/>
      <c r="L7" s="333"/>
      <c r="M7" s="335"/>
      <c r="Q7" s="333"/>
      <c r="R7" s="333"/>
      <c r="S7" s="333"/>
      <c r="T7" s="333"/>
      <c r="U7" s="333"/>
      <c r="V7" s="333"/>
      <c r="W7" s="333"/>
      <c r="X7" s="3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C1F12-3757-4779-A1EA-8783589E4A6A}">
  <sheetPr codeName="Sheet16">
    <tabColor theme="9" tint="0.39997558519241921"/>
  </sheetPr>
  <dimension ref="A2:X71"/>
  <sheetViews>
    <sheetView showRowColHeaders="0" workbookViewId="0">
      <selection activeCell="B13" sqref="B13"/>
    </sheetView>
  </sheetViews>
  <sheetFormatPr defaultColWidth="9.109375" defaultRowHeight="10.199999999999999" x14ac:dyDescent="0.2"/>
  <cols>
    <col min="1" max="3" width="9.109375" style="161"/>
    <col min="4" max="4" width="1.88671875" style="161" customWidth="1"/>
    <col min="5" max="5" width="1.44140625" style="161" customWidth="1"/>
    <col min="6" max="6" width="1.77734375" style="161" customWidth="1"/>
    <col min="7" max="7" width="1.5546875" style="161" customWidth="1"/>
    <col min="8" max="8" width="14.88671875" style="161" customWidth="1"/>
    <col min="9" max="9" width="9.109375" style="161"/>
    <col min="10" max="10" width="13.33203125" style="161" customWidth="1"/>
    <col min="11" max="11" width="6.44140625" style="161" customWidth="1"/>
    <col min="12" max="12" width="15.109375" style="161" customWidth="1"/>
    <col min="13" max="13" width="17.33203125" style="161" customWidth="1"/>
    <col min="14" max="18" width="9.109375" style="161"/>
    <col min="19" max="19" width="17" style="161" customWidth="1"/>
    <col min="20" max="20" width="9.109375" style="161"/>
    <col min="21" max="21" width="3.33203125" style="161" customWidth="1"/>
    <col min="22" max="22" width="13.44140625" style="161" customWidth="1"/>
    <col min="23" max="23" width="19.6640625" style="161" customWidth="1"/>
    <col min="24" max="16384" width="9.109375" style="161"/>
  </cols>
  <sheetData>
    <row r="2" spans="1:24" ht="12" customHeight="1" x14ac:dyDescent="0.2"/>
    <row r="3" spans="1:24" ht="14.4" customHeight="1" x14ac:dyDescent="0.2">
      <c r="A3" s="355"/>
      <c r="B3" s="160" t="s">
        <v>274</v>
      </c>
      <c r="F3" s="474" t="s">
        <v>401</v>
      </c>
      <c r="G3" s="474"/>
      <c r="H3" s="474"/>
      <c r="I3" s="474"/>
      <c r="J3" s="474"/>
      <c r="K3" s="474"/>
      <c r="L3" s="474"/>
      <c r="M3" s="474"/>
      <c r="N3" s="474"/>
      <c r="O3" s="474"/>
      <c r="P3" s="474"/>
      <c r="Q3" s="474"/>
      <c r="R3" s="474"/>
      <c r="S3" s="474"/>
    </row>
    <row r="4" spans="1:24" ht="10.199999999999999" customHeight="1" x14ac:dyDescent="0.2">
      <c r="A4" s="372"/>
      <c r="B4" s="160" t="s">
        <v>275</v>
      </c>
      <c r="F4" s="474"/>
      <c r="G4" s="474"/>
      <c r="H4" s="474"/>
      <c r="I4" s="474"/>
      <c r="J4" s="474"/>
      <c r="K4" s="474"/>
      <c r="L4" s="474"/>
      <c r="M4" s="474"/>
      <c r="N4" s="474"/>
      <c r="O4" s="474"/>
      <c r="P4" s="474"/>
      <c r="Q4" s="474"/>
      <c r="R4" s="474"/>
      <c r="S4" s="474"/>
    </row>
    <row r="8" spans="1:24" ht="10.8" thickBot="1" x14ac:dyDescent="0.25"/>
    <row r="9" spans="1:24" ht="12.75" customHeight="1" x14ac:dyDescent="0.2">
      <c r="A9" s="459" t="s">
        <v>276</v>
      </c>
      <c r="B9" s="460"/>
      <c r="C9" s="461"/>
      <c r="H9" s="462" t="s">
        <v>277</v>
      </c>
      <c r="I9" s="463"/>
      <c r="J9" s="464"/>
      <c r="K9" s="162"/>
      <c r="L9" s="468" t="s">
        <v>278</v>
      </c>
      <c r="M9" s="469"/>
      <c r="N9" s="470"/>
      <c r="O9" s="163"/>
      <c r="P9" s="162"/>
      <c r="Q9" s="468" t="s">
        <v>279</v>
      </c>
      <c r="R9" s="469"/>
      <c r="S9" s="470"/>
      <c r="T9" s="164"/>
      <c r="U9" s="164"/>
      <c r="V9" s="475" t="s">
        <v>280</v>
      </c>
      <c r="W9" s="476"/>
      <c r="X9" s="477"/>
    </row>
    <row r="10" spans="1:24" x14ac:dyDescent="0.2">
      <c r="A10" s="165"/>
      <c r="B10" s="166"/>
      <c r="C10" s="167"/>
      <c r="H10" s="465"/>
      <c r="I10" s="466"/>
      <c r="J10" s="467"/>
      <c r="K10" s="162"/>
      <c r="L10" s="168"/>
      <c r="M10" s="169"/>
      <c r="N10" s="170"/>
      <c r="O10" s="163"/>
      <c r="P10" s="162"/>
      <c r="Q10" s="471"/>
      <c r="R10" s="472"/>
      <c r="S10" s="473"/>
      <c r="T10" s="164"/>
      <c r="U10" s="164"/>
      <c r="V10" s="478" t="s">
        <v>281</v>
      </c>
      <c r="W10" s="479"/>
      <c r="X10" s="355">
        <v>40</v>
      </c>
    </row>
    <row r="11" spans="1:24" x14ac:dyDescent="0.2">
      <c r="A11" s="171" t="s">
        <v>282</v>
      </c>
      <c r="B11" s="344">
        <v>24</v>
      </c>
      <c r="C11" s="167"/>
      <c r="H11" s="172" t="s">
        <v>283</v>
      </c>
      <c r="I11" s="345">
        <v>35</v>
      </c>
      <c r="J11" s="173" t="s">
        <v>284</v>
      </c>
      <c r="K11" s="174"/>
      <c r="L11" s="175" t="s">
        <v>285</v>
      </c>
      <c r="M11" s="348">
        <v>1000</v>
      </c>
      <c r="N11" s="176" t="s">
        <v>284</v>
      </c>
      <c r="O11" s="177"/>
      <c r="P11" s="177"/>
      <c r="Q11" s="178" t="s">
        <v>286</v>
      </c>
      <c r="R11" s="179"/>
      <c r="S11" s="353">
        <v>100</v>
      </c>
      <c r="T11" s="180"/>
      <c r="U11" s="180"/>
      <c r="V11" s="478" t="s">
        <v>287</v>
      </c>
      <c r="W11" s="479"/>
      <c r="X11" s="355">
        <v>100</v>
      </c>
    </row>
    <row r="12" spans="1:24" x14ac:dyDescent="0.2">
      <c r="A12" s="171" t="s">
        <v>288</v>
      </c>
      <c r="B12" s="344">
        <v>0.5</v>
      </c>
      <c r="C12" s="167"/>
      <c r="H12" s="181"/>
      <c r="I12" s="182"/>
      <c r="J12" s="183"/>
      <c r="L12" s="181"/>
      <c r="M12" s="182"/>
      <c r="N12" s="183"/>
      <c r="Q12" s="181" t="s">
        <v>289</v>
      </c>
      <c r="S12" s="353">
        <v>240</v>
      </c>
      <c r="T12" s="180"/>
      <c r="U12" s="180"/>
      <c r="V12" s="478" t="s">
        <v>290</v>
      </c>
      <c r="W12" s="486"/>
      <c r="X12" s="184">
        <f>IF(X10=0,0,X10*0.5)</f>
        <v>20</v>
      </c>
    </row>
    <row r="13" spans="1:24" x14ac:dyDescent="0.2">
      <c r="A13" s="185" t="s">
        <v>291</v>
      </c>
      <c r="B13" s="186">
        <f>B11/B12</f>
        <v>48</v>
      </c>
      <c r="C13" s="187"/>
      <c r="H13" s="172" t="s">
        <v>292</v>
      </c>
      <c r="I13" s="346">
        <v>4</v>
      </c>
      <c r="J13" s="173" t="s">
        <v>293</v>
      </c>
      <c r="K13" s="174"/>
      <c r="L13" s="175" t="s">
        <v>294</v>
      </c>
      <c r="M13" s="349">
        <v>30</v>
      </c>
      <c r="N13" s="173" t="s">
        <v>293</v>
      </c>
      <c r="O13" s="174"/>
      <c r="P13" s="174"/>
      <c r="Q13" s="181" t="s">
        <v>295</v>
      </c>
      <c r="S13" s="188">
        <f>SUM(S11/S12)</f>
        <v>0.41666666666666669</v>
      </c>
      <c r="T13" s="180"/>
      <c r="U13" s="180"/>
      <c r="V13" s="478" t="s">
        <v>296</v>
      </c>
      <c r="W13" s="486"/>
      <c r="X13" s="189">
        <f>IF(X11=0,0,X11/SQRT(X12))</f>
        <v>22.360679774997894</v>
      </c>
    </row>
    <row r="14" spans="1:24" ht="10.8" thickBot="1" x14ac:dyDescent="0.25">
      <c r="B14" s="166"/>
      <c r="H14" s="181"/>
      <c r="J14" s="176"/>
      <c r="K14" s="177"/>
      <c r="L14" s="190"/>
      <c r="N14" s="176"/>
      <c r="O14" s="177"/>
      <c r="P14" s="177"/>
      <c r="Q14" s="181" t="s">
        <v>297</v>
      </c>
      <c r="S14" s="191">
        <f>SUMSQ(S13)</f>
        <v>0.17361111111111113</v>
      </c>
      <c r="T14" s="192"/>
      <c r="U14" s="192"/>
      <c r="V14" s="193"/>
      <c r="W14" s="194"/>
      <c r="X14" s="195"/>
    </row>
    <row r="15" spans="1:24" ht="10.8" thickBot="1" x14ac:dyDescent="0.25">
      <c r="B15" s="166"/>
      <c r="H15" s="196" t="s">
        <v>298</v>
      </c>
      <c r="I15" s="192">
        <f>IF(I13=0,0,I11/SQRT(I13))</f>
        <v>17.5</v>
      </c>
      <c r="J15" s="176"/>
      <c r="K15" s="177"/>
      <c r="L15" s="175" t="s">
        <v>299</v>
      </c>
      <c r="M15" s="350">
        <v>30</v>
      </c>
      <c r="N15" s="176" t="s">
        <v>293</v>
      </c>
      <c r="O15" s="177"/>
      <c r="P15" s="177"/>
      <c r="Q15" s="197"/>
      <c r="R15" s="198"/>
      <c r="S15" s="199"/>
    </row>
    <row r="16" spans="1:24" x14ac:dyDescent="0.2">
      <c r="A16" s="459" t="s">
        <v>300</v>
      </c>
      <c r="B16" s="460"/>
      <c r="C16" s="461"/>
      <c r="H16" s="181"/>
      <c r="I16" s="200"/>
      <c r="J16" s="183"/>
      <c r="L16" s="181"/>
      <c r="N16" s="183"/>
      <c r="S16" s="201"/>
      <c r="V16" s="475" t="s">
        <v>301</v>
      </c>
      <c r="W16" s="476"/>
      <c r="X16" s="477"/>
    </row>
    <row r="17" spans="1:24" ht="10.8" thickBot="1" x14ac:dyDescent="0.25">
      <c r="A17" s="165"/>
      <c r="B17" s="166"/>
      <c r="C17" s="167"/>
      <c r="H17" s="202" t="s">
        <v>302</v>
      </c>
      <c r="I17" s="347">
        <v>10</v>
      </c>
      <c r="J17" s="203">
        <f>SUM(I18/1.16)</f>
        <v>10</v>
      </c>
      <c r="K17" s="204"/>
      <c r="L17" s="205" t="s">
        <v>303</v>
      </c>
      <c r="M17" s="374">
        <f>IF(M13=0,0,M11*SQRT(M13/M15))</f>
        <v>1000</v>
      </c>
      <c r="N17" s="206"/>
      <c r="S17" s="201"/>
      <c r="U17" s="177"/>
      <c r="V17" s="478" t="s">
        <v>304</v>
      </c>
      <c r="W17" s="479"/>
      <c r="X17" s="364">
        <v>2</v>
      </c>
    </row>
    <row r="18" spans="1:24" ht="10.8" thickBot="1" x14ac:dyDescent="0.25">
      <c r="A18" s="171" t="s">
        <v>305</v>
      </c>
      <c r="B18" s="344">
        <v>5</v>
      </c>
      <c r="C18" s="167"/>
      <c r="H18" s="207" t="s">
        <v>306</v>
      </c>
      <c r="I18" s="208">
        <f>SUM(I17*1.16)</f>
        <v>11.6</v>
      </c>
      <c r="J18" s="209"/>
      <c r="K18" s="204"/>
      <c r="L18" s="210"/>
      <c r="M18" s="192"/>
      <c r="V18" s="478" t="s">
        <v>307</v>
      </c>
      <c r="W18" s="479"/>
      <c r="X18" s="364">
        <v>4</v>
      </c>
    </row>
    <row r="19" spans="1:24" ht="10.8" thickBot="1" x14ac:dyDescent="0.25">
      <c r="A19" s="171" t="s">
        <v>288</v>
      </c>
      <c r="B19" s="344">
        <v>3</v>
      </c>
      <c r="C19" s="167"/>
      <c r="H19" s="211"/>
      <c r="I19" s="204"/>
      <c r="J19" s="204"/>
      <c r="K19" s="204"/>
      <c r="L19" s="182"/>
      <c r="M19" s="174"/>
      <c r="Q19" s="212" t="s">
        <v>308</v>
      </c>
      <c r="R19" s="213" t="s">
        <v>93</v>
      </c>
      <c r="S19" s="213" t="s">
        <v>93</v>
      </c>
      <c r="T19" s="214" t="s">
        <v>93</v>
      </c>
      <c r="V19" s="478" t="s">
        <v>309</v>
      </c>
      <c r="W19" s="486"/>
      <c r="X19" s="215">
        <f>IF(X17=0,0,X17/X18)</f>
        <v>0.5</v>
      </c>
    </row>
    <row r="20" spans="1:24" x14ac:dyDescent="0.2">
      <c r="A20" s="185" t="s">
        <v>282</v>
      </c>
      <c r="B20" s="186">
        <f>B18/B19</f>
        <v>1.6666666666666667</v>
      </c>
      <c r="C20" s="187"/>
      <c r="H20" s="490" t="s">
        <v>310</v>
      </c>
      <c r="I20" s="491"/>
      <c r="J20" s="492"/>
      <c r="K20" s="216"/>
      <c r="L20" s="217"/>
      <c r="M20" s="218"/>
      <c r="N20" s="219"/>
      <c r="O20" s="177"/>
      <c r="P20" s="177"/>
      <c r="Q20" s="354">
        <v>100</v>
      </c>
      <c r="R20" s="204" t="s">
        <v>284</v>
      </c>
      <c r="T20" s="183"/>
      <c r="V20" s="478" t="s">
        <v>93</v>
      </c>
      <c r="W20" s="486"/>
      <c r="X20" s="220" t="s">
        <v>93</v>
      </c>
    </row>
    <row r="21" spans="1:24" x14ac:dyDescent="0.2">
      <c r="B21" s="166"/>
      <c r="H21" s="221" t="s">
        <v>311</v>
      </c>
      <c r="I21" s="351">
        <v>10</v>
      </c>
      <c r="J21" s="222"/>
      <c r="K21" s="204"/>
      <c r="L21" s="223" t="s">
        <v>285</v>
      </c>
      <c r="M21" s="344">
        <v>100</v>
      </c>
      <c r="N21" s="176" t="s">
        <v>284</v>
      </c>
      <c r="O21" s="177"/>
      <c r="P21" s="177"/>
      <c r="Q21" s="354">
        <v>4</v>
      </c>
      <c r="R21" s="204" t="s">
        <v>312</v>
      </c>
      <c r="T21" s="183"/>
      <c r="U21" s="204"/>
      <c r="V21" s="181" t="s">
        <v>297</v>
      </c>
      <c r="W21" s="177"/>
      <c r="X21" s="355">
        <v>5.52</v>
      </c>
    </row>
    <row r="22" spans="1:24" x14ac:dyDescent="0.2">
      <c r="B22" s="166"/>
      <c r="H22" s="224"/>
      <c r="I22" s="204"/>
      <c r="J22" s="222"/>
      <c r="K22" s="204"/>
      <c r="L22" s="223"/>
      <c r="N22" s="176"/>
      <c r="O22" s="177"/>
      <c r="P22" s="177"/>
      <c r="Q22" s="190"/>
      <c r="R22" s="177"/>
      <c r="T22" s="183"/>
      <c r="U22" s="177"/>
      <c r="V22" s="478" t="s">
        <v>313</v>
      </c>
      <c r="W22" s="486"/>
      <c r="X22" s="355">
        <v>20.2</v>
      </c>
    </row>
    <row r="23" spans="1:24" x14ac:dyDescent="0.2">
      <c r="A23" s="480" t="s">
        <v>314</v>
      </c>
      <c r="B23" s="481"/>
      <c r="C23" s="482"/>
      <c r="H23" s="221" t="s">
        <v>315</v>
      </c>
      <c r="I23" s="351">
        <v>3</v>
      </c>
      <c r="J23" s="222"/>
      <c r="K23" s="204"/>
      <c r="L23" s="223" t="s">
        <v>316</v>
      </c>
      <c r="M23" s="343">
        <v>8</v>
      </c>
      <c r="N23" s="176" t="s">
        <v>293</v>
      </c>
      <c r="O23" s="177"/>
      <c r="P23" s="177"/>
      <c r="Q23" s="225" t="s">
        <v>317</v>
      </c>
      <c r="R23" s="204" t="s">
        <v>318</v>
      </c>
      <c r="S23" s="204" t="s">
        <v>319</v>
      </c>
      <c r="T23" s="222" t="s">
        <v>284</v>
      </c>
      <c r="U23" s="177"/>
      <c r="V23" s="478" t="s">
        <v>320</v>
      </c>
      <c r="W23" s="486"/>
      <c r="X23" s="226">
        <f>IF(X21=0,0,X21/X22)</f>
        <v>0.27326732673267323</v>
      </c>
    </row>
    <row r="24" spans="1:24" ht="10.8" thickBot="1" x14ac:dyDescent="0.25">
      <c r="A24" s="483"/>
      <c r="B24" s="484"/>
      <c r="C24" s="485"/>
      <c r="H24" s="224"/>
      <c r="I24" s="204"/>
      <c r="J24" s="222"/>
      <c r="K24" s="204"/>
      <c r="L24" s="223"/>
      <c r="N24" s="176"/>
      <c r="O24" s="177"/>
      <c r="P24" s="177"/>
      <c r="Q24" s="354">
        <v>500</v>
      </c>
      <c r="R24" s="355">
        <v>300</v>
      </c>
      <c r="S24" s="227">
        <f>Q24-R24</f>
        <v>200</v>
      </c>
      <c r="T24" s="228">
        <f>(S24/$Q$21)* $Q$20</f>
        <v>5000</v>
      </c>
      <c r="U24" s="177"/>
      <c r="V24" s="487" t="s">
        <v>321</v>
      </c>
      <c r="W24" s="488"/>
      <c r="X24" s="489"/>
    </row>
    <row r="25" spans="1:24" ht="10.8" thickBot="1" x14ac:dyDescent="0.25">
      <c r="A25" s="229"/>
      <c r="B25" s="166"/>
      <c r="C25" s="167"/>
      <c r="H25" s="230" t="s">
        <v>284</v>
      </c>
      <c r="I25" s="373">
        <f>IF(I21=0,0,I21*SQRT(I23))</f>
        <v>17.320508075688771</v>
      </c>
      <c r="J25" s="195"/>
      <c r="K25" s="177"/>
      <c r="L25" s="223" t="s">
        <v>322</v>
      </c>
      <c r="M25" s="352">
        <v>100</v>
      </c>
      <c r="N25" s="176" t="s">
        <v>284</v>
      </c>
      <c r="O25" s="177"/>
      <c r="P25" s="177"/>
      <c r="Q25" s="354">
        <v>800</v>
      </c>
      <c r="R25" s="355">
        <v>300</v>
      </c>
      <c r="S25" s="227">
        <f t="shared" ref="S25:S26" si="0">Q25-R25</f>
        <v>500</v>
      </c>
      <c r="T25" s="228">
        <f>(S25/$Q$21)* $Q$20</f>
        <v>12500</v>
      </c>
      <c r="V25" s="182"/>
    </row>
    <row r="26" spans="1:24" ht="10.8" thickBot="1" x14ac:dyDescent="0.25">
      <c r="A26" s="231" t="s">
        <v>305</v>
      </c>
      <c r="B26" s="344">
        <v>5</v>
      </c>
      <c r="C26" s="167"/>
      <c r="L26" s="232" t="s">
        <v>323</v>
      </c>
      <c r="M26" s="375">
        <f>(M25^2)*(M23/(M21^2))</f>
        <v>8</v>
      </c>
      <c r="N26" s="195" t="s">
        <v>293</v>
      </c>
      <c r="Q26" s="356">
        <v>500</v>
      </c>
      <c r="R26" s="357">
        <v>100</v>
      </c>
      <c r="S26" s="233">
        <f t="shared" si="0"/>
        <v>400</v>
      </c>
      <c r="T26" s="234">
        <f t="shared" ref="T26" si="1">(S26/$Q$21)* $Q$20</f>
        <v>10000</v>
      </c>
    </row>
    <row r="27" spans="1:24" x14ac:dyDescent="0.2">
      <c r="A27" s="231" t="s">
        <v>282</v>
      </c>
      <c r="B27" s="344">
        <v>24</v>
      </c>
      <c r="C27" s="167"/>
      <c r="Q27" s="177"/>
      <c r="R27" s="177"/>
      <c r="S27" s="177"/>
      <c r="T27" s="177"/>
    </row>
    <row r="28" spans="1:24" x14ac:dyDescent="0.2">
      <c r="A28" s="185" t="s">
        <v>288</v>
      </c>
      <c r="B28" s="235">
        <f>B26/B27</f>
        <v>0.20833333333333334</v>
      </c>
      <c r="C28" s="187"/>
    </row>
    <row r="29" spans="1:24" ht="10.8" thickBot="1" x14ac:dyDescent="0.25">
      <c r="B29" s="166"/>
    </row>
    <row r="30" spans="1:24" ht="10.8" thickTop="1" x14ac:dyDescent="0.2">
      <c r="B30" s="166"/>
      <c r="H30" s="236" t="s">
        <v>324</v>
      </c>
      <c r="I30" s="358">
        <v>200</v>
      </c>
      <c r="J30" s="237"/>
      <c r="K30" s="237"/>
      <c r="L30" s="237"/>
      <c r="M30" s="237"/>
      <c r="N30" s="237"/>
      <c r="O30" s="237"/>
      <c r="P30" s="237"/>
      <c r="Q30" s="237"/>
      <c r="R30" s="237"/>
      <c r="S30" s="237"/>
      <c r="T30" s="238"/>
      <c r="V30" s="502" t="s">
        <v>325</v>
      </c>
      <c r="W30" s="503"/>
      <c r="X30" s="181"/>
    </row>
    <row r="31" spans="1:24" ht="12.75" customHeight="1" x14ac:dyDescent="0.25">
      <c r="A31" s="459" t="s">
        <v>326</v>
      </c>
      <c r="B31" s="460"/>
      <c r="C31" s="461"/>
      <c r="H31" s="239"/>
      <c r="I31" s="166"/>
      <c r="K31" s="504" t="s">
        <v>327</v>
      </c>
      <c r="L31" s="504"/>
      <c r="M31" s="504"/>
      <c r="N31" s="504"/>
      <c r="O31" s="504"/>
      <c r="P31" s="504"/>
      <c r="Q31" s="504"/>
      <c r="R31" s="504"/>
      <c r="T31" s="240"/>
      <c r="V31" s="178" t="s">
        <v>94</v>
      </c>
      <c r="W31" s="365">
        <v>16</v>
      </c>
      <c r="X31" s="181"/>
    </row>
    <row r="32" spans="1:24" x14ac:dyDescent="0.2">
      <c r="A32" s="165"/>
      <c r="B32" s="166"/>
      <c r="C32" s="167"/>
      <c r="H32" s="241" t="s">
        <v>328</v>
      </c>
      <c r="I32" s="242">
        <v>1</v>
      </c>
      <c r="J32" s="204">
        <v>2</v>
      </c>
      <c r="K32" s="204">
        <v>3</v>
      </c>
      <c r="L32" s="204">
        <v>4</v>
      </c>
      <c r="M32" s="204">
        <v>5</v>
      </c>
      <c r="N32" s="204">
        <v>6</v>
      </c>
      <c r="O32" s="204">
        <v>7</v>
      </c>
      <c r="P32" s="204">
        <v>8</v>
      </c>
      <c r="Q32" s="204">
        <v>9</v>
      </c>
      <c r="R32" s="204">
        <v>10</v>
      </c>
      <c r="S32" s="204">
        <v>11</v>
      </c>
      <c r="T32" s="243">
        <v>12</v>
      </c>
      <c r="U32" s="204"/>
      <c r="V32" s="181" t="s">
        <v>237</v>
      </c>
      <c r="W32" s="365">
        <v>0.5</v>
      </c>
      <c r="X32" s="181"/>
    </row>
    <row r="33" spans="1:24" x14ac:dyDescent="0.2">
      <c r="A33" s="171" t="s">
        <v>282</v>
      </c>
      <c r="B33" s="344">
        <v>24</v>
      </c>
      <c r="C33" s="167"/>
      <c r="H33" s="239"/>
      <c r="I33" s="166"/>
      <c r="T33" s="240"/>
      <c r="V33" s="181" t="s">
        <v>329</v>
      </c>
      <c r="W33" s="365">
        <v>1</v>
      </c>
      <c r="X33" s="181"/>
    </row>
    <row r="34" spans="1:24" x14ac:dyDescent="0.2">
      <c r="A34" s="171" t="s">
        <v>288</v>
      </c>
      <c r="B34" s="344">
        <v>2</v>
      </c>
      <c r="C34" s="167"/>
      <c r="H34" s="241" t="s">
        <v>284</v>
      </c>
      <c r="I34" s="244">
        <f>IF($I$30=0,0,$I$30*SQRT(I32))</f>
        <v>200</v>
      </c>
      <c r="J34" s="244">
        <f>IF($I$30=0,0,$I$30*SQRT(J32))</f>
        <v>282.84271247461902</v>
      </c>
      <c r="K34" s="244">
        <f t="shared" ref="K34:T34" si="2">IF($I$30=0,0,$I$30*SQRT(K32))</f>
        <v>346.41016151377545</v>
      </c>
      <c r="L34" s="244">
        <f t="shared" si="2"/>
        <v>400</v>
      </c>
      <c r="M34" s="244">
        <f t="shared" si="2"/>
        <v>447.21359549995793</v>
      </c>
      <c r="N34" s="244">
        <f t="shared" si="2"/>
        <v>489.89794855663558</v>
      </c>
      <c r="O34" s="244">
        <f t="shared" si="2"/>
        <v>529.15026221291816</v>
      </c>
      <c r="P34" s="244">
        <f t="shared" si="2"/>
        <v>565.68542494923804</v>
      </c>
      <c r="Q34" s="245">
        <f t="shared" si="2"/>
        <v>600</v>
      </c>
      <c r="R34" s="246">
        <f t="shared" si="2"/>
        <v>632.45553203367592</v>
      </c>
      <c r="S34" s="244">
        <f t="shared" si="2"/>
        <v>663.32495807108</v>
      </c>
      <c r="T34" s="247">
        <f t="shared" si="2"/>
        <v>692.8203230275509</v>
      </c>
      <c r="U34" s="248"/>
      <c r="V34" s="181" t="s">
        <v>330</v>
      </c>
      <c r="W34" s="249">
        <f>1/SQRT(1+((1.5*(1-(W32/W33)^2)^2)/890)*((W31/W32^2)^2))</f>
        <v>0.45253288292040411</v>
      </c>
      <c r="X34" s="181"/>
    </row>
    <row r="35" spans="1:24" ht="10.8" thickBot="1" x14ac:dyDescent="0.25">
      <c r="A35" s="185" t="s">
        <v>305</v>
      </c>
      <c r="B35" s="186">
        <f>B33*B34</f>
        <v>48</v>
      </c>
      <c r="C35" s="187"/>
      <c r="H35" s="241"/>
      <c r="I35" s="248"/>
      <c r="J35" s="248"/>
      <c r="K35" s="248"/>
      <c r="L35" s="248"/>
      <c r="M35" s="248"/>
      <c r="N35" s="248"/>
      <c r="O35" s="248"/>
      <c r="P35" s="248"/>
      <c r="Q35" s="248"/>
      <c r="R35" s="248"/>
      <c r="S35" s="248"/>
      <c r="T35" s="250"/>
      <c r="U35" s="248"/>
      <c r="V35" s="251" t="s">
        <v>331</v>
      </c>
      <c r="W35" s="252">
        <f>W34*W31</f>
        <v>7.2405261267264658</v>
      </c>
      <c r="X35" s="181"/>
    </row>
    <row r="36" spans="1:24" x14ac:dyDescent="0.2">
      <c r="B36" s="166"/>
      <c r="H36" s="241" t="s">
        <v>328</v>
      </c>
      <c r="I36" s="359">
        <v>8</v>
      </c>
      <c r="J36" s="253">
        <f>IF($I$30=0,0,$I$30*SQRT(I36))</f>
        <v>565.68542494923804</v>
      </c>
      <c r="K36" s="248"/>
      <c r="L36" s="248"/>
      <c r="M36" s="248"/>
      <c r="N36" s="248"/>
      <c r="O36" s="248"/>
      <c r="P36" s="248"/>
      <c r="Q36" s="248"/>
      <c r="R36" s="248"/>
      <c r="S36" s="248"/>
      <c r="T36" s="250"/>
      <c r="U36" s="248"/>
    </row>
    <row r="37" spans="1:24" ht="10.8" thickBot="1" x14ac:dyDescent="0.25">
      <c r="B37" s="166"/>
      <c r="H37" s="241"/>
      <c r="I37" s="248"/>
      <c r="J37" s="248"/>
      <c r="K37" s="248"/>
      <c r="L37" s="248"/>
      <c r="M37" s="248"/>
      <c r="N37" s="248"/>
      <c r="O37" s="248"/>
      <c r="P37" s="248"/>
      <c r="Q37" s="248"/>
      <c r="R37" s="248"/>
      <c r="S37" s="248"/>
      <c r="T37" s="250"/>
      <c r="U37" s="248"/>
    </row>
    <row r="38" spans="1:24" ht="13.2" x14ac:dyDescent="0.25">
      <c r="A38" s="499" t="s">
        <v>332</v>
      </c>
      <c r="B38" s="500"/>
      <c r="C38" s="501"/>
      <c r="H38" s="241"/>
      <c r="I38" s="248"/>
      <c r="J38" s="248"/>
      <c r="K38" s="248"/>
      <c r="L38" s="248"/>
      <c r="M38" s="248"/>
      <c r="N38" s="248"/>
      <c r="O38" s="248"/>
      <c r="P38" s="248"/>
      <c r="Q38" s="248"/>
      <c r="R38" s="248"/>
      <c r="S38" s="248"/>
      <c r="T38" s="250"/>
      <c r="U38" s="248"/>
      <c r="V38" s="505" t="s">
        <v>333</v>
      </c>
      <c r="W38" s="506"/>
      <c r="X38" s="507"/>
    </row>
    <row r="39" spans="1:24" ht="13.2" x14ac:dyDescent="0.25">
      <c r="A39" s="181"/>
      <c r="B39" s="166"/>
      <c r="C39" s="183"/>
      <c r="H39" s="239"/>
      <c r="I39" s="166"/>
      <c r="K39" s="504" t="s">
        <v>334</v>
      </c>
      <c r="L39" s="504"/>
      <c r="M39" s="504"/>
      <c r="N39" s="504"/>
      <c r="O39" s="504"/>
      <c r="P39" s="504"/>
      <c r="Q39" s="504"/>
      <c r="R39" s="504"/>
      <c r="S39" s="254"/>
      <c r="T39" s="255"/>
      <c r="U39" s="254"/>
      <c r="V39"/>
      <c r="W39"/>
      <c r="X39"/>
    </row>
    <row r="40" spans="1:24" ht="13.2" x14ac:dyDescent="0.25">
      <c r="A40" s="190" t="s">
        <v>284</v>
      </c>
      <c r="B40" s="344">
        <v>10</v>
      </c>
      <c r="C40" s="183"/>
      <c r="H40" s="256" t="s">
        <v>329</v>
      </c>
      <c r="I40" s="166"/>
      <c r="T40" s="240"/>
      <c r="V40" s="257" t="s">
        <v>335</v>
      </c>
      <c r="W40" s="366">
        <v>1600</v>
      </c>
      <c r="X40" s="258">
        <f>SUM(W40*0.8)</f>
        <v>1280</v>
      </c>
    </row>
    <row r="41" spans="1:24" ht="13.2" x14ac:dyDescent="0.25">
      <c r="A41" s="190" t="s">
        <v>336</v>
      </c>
      <c r="B41" s="344">
        <v>30</v>
      </c>
      <c r="C41" s="183"/>
      <c r="H41" s="360">
        <v>1</v>
      </c>
      <c r="I41" s="259">
        <f>I34/((((($H$41/2)^2*3.14159)*12)/231)*60)</f>
        <v>81.699606462544978</v>
      </c>
      <c r="J41" s="259">
        <f>J34/((((($H$41/2)^2*3.14159)*12)/231)*60)</f>
        <v>115.54069149987568</v>
      </c>
      <c r="K41" s="259">
        <f t="shared" ref="K41:T41" si="3">K34/((((($H$41/2)^2*3.14159)*12)/231)*60)</f>
        <v>141.50786935151049</v>
      </c>
      <c r="L41" s="259">
        <f t="shared" si="3"/>
        <v>163.39921292508996</v>
      </c>
      <c r="M41" s="259">
        <f t="shared" si="3"/>
        <v>182.68587378523171</v>
      </c>
      <c r="N41" s="259">
        <f t="shared" si="3"/>
        <v>200.12234801942617</v>
      </c>
      <c r="O41" s="259">
        <f t="shared" si="3"/>
        <v>216.15684091173949</v>
      </c>
      <c r="P41" s="259">
        <f t="shared" si="3"/>
        <v>231.08138299975136</v>
      </c>
      <c r="Q41" s="259">
        <f t="shared" si="3"/>
        <v>245.09881938763493</v>
      </c>
      <c r="R41" s="259">
        <f t="shared" si="3"/>
        <v>258.35684036105414</v>
      </c>
      <c r="S41" s="259">
        <f t="shared" si="3"/>
        <v>270.96694015595693</v>
      </c>
      <c r="T41" s="260">
        <f t="shared" si="3"/>
        <v>283.01573870302099</v>
      </c>
      <c r="U41" s="248"/>
      <c r="V41" s="261" t="s">
        <v>337</v>
      </c>
      <c r="W41"/>
      <c r="X41" s="262"/>
    </row>
    <row r="42" spans="1:24" ht="13.8" thickBot="1" x14ac:dyDescent="0.3">
      <c r="A42" s="225" t="s">
        <v>338</v>
      </c>
      <c r="B42" s="263">
        <f>SUM(B40*B41/3960)</f>
        <v>7.575757575757576E-2</v>
      </c>
      <c r="C42" s="183"/>
      <c r="H42" s="264"/>
      <c r="I42" s="265"/>
      <c r="J42" s="265"/>
      <c r="K42" s="265"/>
      <c r="L42" s="265"/>
      <c r="M42" s="265"/>
      <c r="N42" s="265"/>
      <c r="O42" s="265"/>
      <c r="P42" s="265"/>
      <c r="Q42" s="265"/>
      <c r="R42" s="265"/>
      <c r="S42" s="265"/>
      <c r="T42" s="266"/>
      <c r="V42" s="261" t="s">
        <v>339</v>
      </c>
      <c r="W42" s="366">
        <v>25</v>
      </c>
      <c r="X42" s="267">
        <f>+SUM(W42*0.5)</f>
        <v>12.5</v>
      </c>
    </row>
    <row r="43" spans="1:24" ht="14.4" thickTop="1" thickBot="1" x14ac:dyDescent="0.3">
      <c r="A43" s="197"/>
      <c r="B43" s="268"/>
      <c r="C43" s="206"/>
      <c r="V43" s="269" t="s">
        <v>340</v>
      </c>
      <c r="W43" s="270"/>
      <c r="X43" s="271">
        <f>IF(W40=0,0,X40/SQRT(X42))</f>
        <v>362.0386719675123</v>
      </c>
    </row>
    <row r="44" spans="1:24" ht="10.8" thickBot="1" x14ac:dyDescent="0.25">
      <c r="B44" s="166"/>
    </row>
    <row r="45" spans="1:24" ht="14.4" thickTop="1" thickBot="1" x14ac:dyDescent="0.3">
      <c r="B45" s="166"/>
      <c r="H45" s="493" t="s">
        <v>341</v>
      </c>
      <c r="I45" s="494"/>
      <c r="J45" s="494"/>
      <c r="K45" s="494"/>
      <c r="L45" s="494"/>
      <c r="M45" s="494"/>
      <c r="N45" s="494"/>
      <c r="O45" s="494"/>
      <c r="P45" s="495"/>
      <c r="R45" s="496" t="s">
        <v>342</v>
      </c>
      <c r="S45" s="497"/>
      <c r="T45" s="498"/>
    </row>
    <row r="46" spans="1:24" ht="13.2" x14ac:dyDescent="0.25">
      <c r="A46" s="499" t="s">
        <v>343</v>
      </c>
      <c r="B46" s="500"/>
      <c r="C46" s="501"/>
      <c r="H46" s="272" t="s">
        <v>344</v>
      </c>
      <c r="I46" s="361">
        <v>2000</v>
      </c>
      <c r="J46" s="161" t="s">
        <v>284</v>
      </c>
      <c r="P46" s="183"/>
      <c r="R46" s="273" t="s">
        <v>345</v>
      </c>
      <c r="S46" s="164" t="s">
        <v>346</v>
      </c>
      <c r="T46" s="274" t="s">
        <v>347</v>
      </c>
    </row>
    <row r="47" spans="1:24" ht="13.2" x14ac:dyDescent="0.25">
      <c r="A47" s="181"/>
      <c r="B47" s="166"/>
      <c r="C47" s="183"/>
      <c r="H47" s="272" t="s">
        <v>237</v>
      </c>
      <c r="I47" s="361">
        <v>8</v>
      </c>
      <c r="J47" s="161" t="s">
        <v>348</v>
      </c>
      <c r="P47" s="183"/>
      <c r="R47" s="275">
        <f>(SUM(S47*500*T47))</f>
        <v>8901.5</v>
      </c>
      <c r="S47" s="362">
        <v>0.93700000000000006</v>
      </c>
      <c r="T47" s="367">
        <v>19</v>
      </c>
    </row>
    <row r="48" spans="1:24" ht="13.2" x14ac:dyDescent="0.25">
      <c r="A48" s="190" t="s">
        <v>349</v>
      </c>
      <c r="B48" s="344">
        <v>5</v>
      </c>
      <c r="C48" s="183"/>
      <c r="H48" s="272" t="s">
        <v>350</v>
      </c>
      <c r="I48" s="276">
        <f>I46/(((((I47/2)^2*3.14159)*12)/231)*60)</f>
        <v>12.765563509772653</v>
      </c>
      <c r="J48" s="161" t="s">
        <v>351</v>
      </c>
      <c r="P48" s="183"/>
      <c r="R48" s="239"/>
      <c r="T48" s="240"/>
    </row>
    <row r="49" spans="1:20" ht="13.2" x14ac:dyDescent="0.2">
      <c r="A49" s="190" t="s">
        <v>336</v>
      </c>
      <c r="B49" s="344">
        <v>25</v>
      </c>
      <c r="C49" s="183"/>
      <c r="H49" s="181"/>
      <c r="P49" s="183"/>
      <c r="R49" s="273" t="s">
        <v>352</v>
      </c>
      <c r="S49" s="164" t="s">
        <v>353</v>
      </c>
      <c r="T49" s="274" t="s">
        <v>354</v>
      </c>
    </row>
    <row r="50" spans="1:20" x14ac:dyDescent="0.2">
      <c r="A50" s="225" t="s">
        <v>284</v>
      </c>
      <c r="B50" s="186">
        <f>SUM(3960*B48/B49)</f>
        <v>792</v>
      </c>
      <c r="C50" s="183"/>
      <c r="H50" s="181"/>
      <c r="P50" s="183"/>
      <c r="R50" s="277">
        <f>SUM(S50/(500*T50))</f>
        <v>1.6277999999999999</v>
      </c>
      <c r="S50" s="363">
        <v>16278</v>
      </c>
      <c r="T50" s="367">
        <v>20</v>
      </c>
    </row>
    <row r="51" spans="1:20" ht="10.8" thickBot="1" x14ac:dyDescent="0.25">
      <c r="A51" s="197"/>
      <c r="B51" s="268"/>
      <c r="C51" s="206"/>
      <c r="H51" s="181"/>
      <c r="P51" s="183"/>
      <c r="R51" s="239"/>
      <c r="T51" s="240"/>
    </row>
    <row r="52" spans="1:20" ht="13.8" thickBot="1" x14ac:dyDescent="0.3">
      <c r="B52" s="166"/>
      <c r="H52" s="278" t="s">
        <v>355</v>
      </c>
      <c r="P52" s="183"/>
      <c r="R52" s="279" t="s">
        <v>356</v>
      </c>
      <c r="S52" s="204" t="s">
        <v>357</v>
      </c>
      <c r="T52" s="243" t="s">
        <v>358</v>
      </c>
    </row>
    <row r="53" spans="1:20" ht="13.2" x14ac:dyDescent="0.25">
      <c r="A53" s="499" t="s">
        <v>359</v>
      </c>
      <c r="B53" s="500"/>
      <c r="C53" s="501"/>
      <c r="H53" s="278" t="s">
        <v>360</v>
      </c>
      <c r="P53" s="183"/>
      <c r="R53" s="277">
        <f>SUM(S53/(500*T53))</f>
        <v>20</v>
      </c>
      <c r="S53" s="363">
        <v>10000</v>
      </c>
      <c r="T53" s="367">
        <v>1</v>
      </c>
    </row>
    <row r="54" spans="1:20" ht="13.8" thickBot="1" x14ac:dyDescent="0.3">
      <c r="A54" s="181"/>
      <c r="B54" s="166"/>
      <c r="C54" s="183"/>
      <c r="H54" s="278" t="s">
        <v>361</v>
      </c>
      <c r="P54" s="183"/>
      <c r="R54" s="264"/>
      <c r="S54" s="265"/>
      <c r="T54" s="266"/>
    </row>
    <row r="55" spans="1:20" ht="13.8" thickTop="1" x14ac:dyDescent="0.25">
      <c r="A55" s="190" t="s">
        <v>284</v>
      </c>
      <c r="B55" s="344">
        <v>400</v>
      </c>
      <c r="C55" s="183"/>
      <c r="H55" s="278" t="s">
        <v>93</v>
      </c>
      <c r="P55" s="183"/>
    </row>
    <row r="56" spans="1:20" ht="13.2" x14ac:dyDescent="0.25">
      <c r="A56" s="225" t="s">
        <v>362</v>
      </c>
      <c r="B56" s="235">
        <f>POWER(B55,0.4)*0.44</f>
        <v>4.8336663905469184</v>
      </c>
      <c r="C56" s="183"/>
      <c r="H56" s="280" t="s">
        <v>363</v>
      </c>
      <c r="P56" s="183"/>
    </row>
    <row r="57" spans="1:20" ht="13.8" thickBot="1" x14ac:dyDescent="0.3">
      <c r="A57" s="197"/>
      <c r="B57" s="268"/>
      <c r="C57" s="206"/>
      <c r="H57" s="278" t="s">
        <v>364</v>
      </c>
      <c r="P57" s="183"/>
    </row>
    <row r="58" spans="1:20" ht="13.2" x14ac:dyDescent="0.25">
      <c r="H58" s="278" t="s">
        <v>365</v>
      </c>
      <c r="P58" s="183"/>
    </row>
    <row r="59" spans="1:20" ht="13.2" x14ac:dyDescent="0.25">
      <c r="H59" s="281" t="s">
        <v>366</v>
      </c>
      <c r="P59" s="183"/>
    </row>
    <row r="60" spans="1:20" ht="13.2" x14ac:dyDescent="0.25">
      <c r="H60" s="278" t="s">
        <v>367</v>
      </c>
      <c r="P60" s="183"/>
    </row>
    <row r="61" spans="1:20" ht="13.2" x14ac:dyDescent="0.25">
      <c r="H61" s="278" t="s">
        <v>368</v>
      </c>
      <c r="P61" s="183"/>
    </row>
    <row r="62" spans="1:20" ht="13.2" x14ac:dyDescent="0.25">
      <c r="H62" s="282"/>
      <c r="P62" s="183"/>
    </row>
    <row r="63" spans="1:20" ht="13.2" x14ac:dyDescent="0.25">
      <c r="H63" s="282"/>
      <c r="P63" s="183"/>
    </row>
    <row r="64" spans="1:20" ht="13.2" x14ac:dyDescent="0.25">
      <c r="H64" s="283" t="s">
        <v>369</v>
      </c>
      <c r="P64" s="183"/>
    </row>
    <row r="65" spans="8:16" ht="13.2" x14ac:dyDescent="0.25">
      <c r="H65" s="278" t="s">
        <v>364</v>
      </c>
      <c r="P65" s="183"/>
    </row>
    <row r="66" spans="8:16" ht="13.2" x14ac:dyDescent="0.25">
      <c r="H66" s="278" t="s">
        <v>370</v>
      </c>
      <c r="P66" s="183"/>
    </row>
    <row r="67" spans="8:16" ht="13.2" x14ac:dyDescent="0.25">
      <c r="H67" s="284" t="s">
        <v>371</v>
      </c>
      <c r="P67" s="183"/>
    </row>
    <row r="68" spans="8:16" ht="13.2" x14ac:dyDescent="0.25">
      <c r="H68" s="278" t="s">
        <v>367</v>
      </c>
      <c r="P68" s="183"/>
    </row>
    <row r="69" spans="8:16" ht="13.2" x14ac:dyDescent="0.25">
      <c r="H69" s="278" t="s">
        <v>368</v>
      </c>
      <c r="P69" s="183"/>
    </row>
    <row r="70" spans="8:16" ht="13.2" x14ac:dyDescent="0.25">
      <c r="H70" s="285" t="s">
        <v>372</v>
      </c>
      <c r="P70" s="183"/>
    </row>
    <row r="71" spans="8:16" ht="10.8" thickBot="1" x14ac:dyDescent="0.25">
      <c r="H71" s="197"/>
      <c r="I71" s="198"/>
      <c r="J71" s="198"/>
      <c r="K71" s="198"/>
      <c r="L71" s="198"/>
      <c r="M71" s="198"/>
      <c r="N71" s="198"/>
      <c r="O71" s="198"/>
      <c r="P71" s="206"/>
    </row>
  </sheetData>
  <mergeCells count="31">
    <mergeCell ref="H45:P45"/>
    <mergeCell ref="R45:T45"/>
    <mergeCell ref="A46:C46"/>
    <mergeCell ref="A53:C53"/>
    <mergeCell ref="V30:W30"/>
    <mergeCell ref="A31:C31"/>
    <mergeCell ref="K31:R31"/>
    <mergeCell ref="A38:C38"/>
    <mergeCell ref="V38:X38"/>
    <mergeCell ref="K39:R39"/>
    <mergeCell ref="V9:X9"/>
    <mergeCell ref="V10:W10"/>
    <mergeCell ref="A23:C24"/>
    <mergeCell ref="V23:W23"/>
    <mergeCell ref="V24:X24"/>
    <mergeCell ref="V11:W11"/>
    <mergeCell ref="V12:W12"/>
    <mergeCell ref="V13:W13"/>
    <mergeCell ref="A16:C16"/>
    <mergeCell ref="V16:X16"/>
    <mergeCell ref="V17:W17"/>
    <mergeCell ref="V18:W18"/>
    <mergeCell ref="V19:W19"/>
    <mergeCell ref="H20:J20"/>
    <mergeCell ref="V20:W20"/>
    <mergeCell ref="V22:W22"/>
    <mergeCell ref="A9:C9"/>
    <mergeCell ref="H9:J10"/>
    <mergeCell ref="L9:N9"/>
    <mergeCell ref="Q9:S10"/>
    <mergeCell ref="F3:S4"/>
  </mergeCells>
  <conditionalFormatting sqref="X19">
    <cfRule type="colorScale" priority="1">
      <colorScale>
        <cfvo type="num" val="&quot;&lt;=0.25&quot;"/>
        <cfvo type="num" val="&quot;&gt;=0.50&quot;"/>
        <color rgb="FFFF7128"/>
        <color rgb="FFFFEF9C"/>
      </colorScale>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H5" sqref="H5"/>
    </sheetView>
  </sheetViews>
  <sheetFormatPr defaultColWidth="9.109375" defaultRowHeight="13.8" x14ac:dyDescent="0.25"/>
  <cols>
    <col min="1" max="1" width="20.109375" style="105" customWidth="1"/>
    <col min="2" max="2" width="17.5546875" style="105" customWidth="1"/>
    <col min="3" max="16384" width="9.109375" style="105"/>
  </cols>
  <sheetData>
    <row r="1" spans="1:16" s="99" customFormat="1" ht="14.4" thickTop="1" thickBot="1" x14ac:dyDescent="0.3">
      <c r="A1" s="508" t="s">
        <v>159</v>
      </c>
      <c r="B1" s="509"/>
      <c r="C1" s="510" t="s">
        <v>160</v>
      </c>
      <c r="D1" s="511"/>
      <c r="E1" s="511"/>
      <c r="F1" s="511"/>
      <c r="G1" s="511"/>
      <c r="H1" s="511"/>
      <c r="I1" s="511"/>
      <c r="J1" s="511"/>
      <c r="K1" s="511"/>
      <c r="L1" s="511"/>
      <c r="M1" s="511"/>
      <c r="N1" s="511"/>
      <c r="O1" s="511"/>
      <c r="P1" s="512"/>
    </row>
    <row r="2" spans="1:16" s="99" customFormat="1" thickBot="1" x14ac:dyDescent="0.3">
      <c r="A2" s="100" t="s">
        <v>161</v>
      </c>
      <c r="B2" s="101" t="s">
        <v>162</v>
      </c>
      <c r="C2" s="102" t="s">
        <v>188</v>
      </c>
      <c r="D2" s="102" t="s">
        <v>189</v>
      </c>
      <c r="E2" s="102" t="s">
        <v>190</v>
      </c>
      <c r="F2" s="102" t="s">
        <v>236</v>
      </c>
      <c r="G2" s="102" t="s">
        <v>191</v>
      </c>
      <c r="H2" s="102" t="s">
        <v>192</v>
      </c>
      <c r="I2" s="102" t="s">
        <v>193</v>
      </c>
      <c r="J2" s="102" t="s">
        <v>186</v>
      </c>
      <c r="K2" s="102" t="s">
        <v>158</v>
      </c>
      <c r="L2" s="102" t="s">
        <v>187</v>
      </c>
      <c r="M2" s="102" t="s">
        <v>194</v>
      </c>
      <c r="N2" s="102" t="s">
        <v>239</v>
      </c>
      <c r="O2" s="102" t="s">
        <v>238</v>
      </c>
      <c r="P2" s="103" t="s">
        <v>253</v>
      </c>
    </row>
    <row r="3" spans="1:16" x14ac:dyDescent="0.25">
      <c r="A3" s="105">
        <v>5</v>
      </c>
      <c r="B3" s="105">
        <v>50</v>
      </c>
      <c r="C3" s="105">
        <v>12</v>
      </c>
      <c r="D3" s="105">
        <v>26</v>
      </c>
      <c r="E3" s="105">
        <v>45</v>
      </c>
      <c r="F3" s="105">
        <v>70</v>
      </c>
      <c r="G3" s="105">
        <v>100</v>
      </c>
      <c r="H3" s="105">
        <v>190</v>
      </c>
      <c r="I3" s="105">
        <v>280</v>
      </c>
      <c r="J3" s="105">
        <v>410</v>
      </c>
      <c r="K3" s="105">
        <v>760</v>
      </c>
      <c r="L3" s="105">
        <v>1250</v>
      </c>
      <c r="M3" s="105">
        <v>1770</v>
      </c>
      <c r="N3" s="105">
        <v>3100</v>
      </c>
      <c r="O3" s="105">
        <v>5000</v>
      </c>
      <c r="P3" s="105">
        <v>7100</v>
      </c>
    </row>
    <row r="4" spans="1:16" x14ac:dyDescent="0.25">
      <c r="A4" s="105">
        <v>5</v>
      </c>
      <c r="B4" s="105">
        <v>80</v>
      </c>
      <c r="C4" s="105">
        <v>19</v>
      </c>
      <c r="D4" s="105">
        <v>45</v>
      </c>
      <c r="E4" s="105">
        <v>75</v>
      </c>
      <c r="F4" s="105">
        <v>115</v>
      </c>
      <c r="G4" s="105">
        <v>170</v>
      </c>
      <c r="H4" s="105">
        <v>300</v>
      </c>
      <c r="I4" s="105">
        <v>490</v>
      </c>
      <c r="J4" s="105">
        <v>710</v>
      </c>
      <c r="K4" s="105">
        <v>1250</v>
      </c>
      <c r="L4" s="105">
        <v>1800</v>
      </c>
      <c r="M4" s="105">
        <v>2700</v>
      </c>
      <c r="N4" s="105">
        <v>5200</v>
      </c>
      <c r="O4" s="105">
        <v>7600</v>
      </c>
      <c r="P4" s="105">
        <v>11000</v>
      </c>
    </row>
    <row r="5" spans="1:16" x14ac:dyDescent="0.25">
      <c r="A5" s="105">
        <v>5</v>
      </c>
      <c r="B5" s="105">
        <v>120</v>
      </c>
      <c r="C5" s="105">
        <v>29</v>
      </c>
      <c r="D5" s="105">
        <v>60</v>
      </c>
      <c r="E5" s="105">
        <v>110</v>
      </c>
      <c r="F5" s="105">
        <v>175</v>
      </c>
      <c r="G5" s="105">
        <v>245</v>
      </c>
      <c r="H5" s="105">
        <v>460</v>
      </c>
      <c r="I5" s="105">
        <v>700</v>
      </c>
      <c r="J5" s="105">
        <v>1000</v>
      </c>
      <c r="K5" s="105">
        <v>1800</v>
      </c>
      <c r="L5" s="105">
        <v>2900</v>
      </c>
      <c r="M5" s="105">
        <v>4000</v>
      </c>
      <c r="N5" s="105">
        <v>7500</v>
      </c>
      <c r="O5" s="105">
        <v>12000</v>
      </c>
      <c r="P5" s="105">
        <v>16500</v>
      </c>
    </row>
    <row r="6" spans="1:16" x14ac:dyDescent="0.25">
      <c r="A6" s="105">
        <v>10</v>
      </c>
      <c r="B6" s="105">
        <v>50</v>
      </c>
      <c r="C6" s="105">
        <v>15</v>
      </c>
      <c r="D6" s="105">
        <v>35</v>
      </c>
      <c r="E6" s="105">
        <v>55</v>
      </c>
      <c r="F6" s="105">
        <v>88</v>
      </c>
      <c r="G6" s="105">
        <v>130</v>
      </c>
      <c r="H6" s="105">
        <v>240</v>
      </c>
      <c r="I6" s="105">
        <v>365</v>
      </c>
      <c r="J6" s="105">
        <v>550</v>
      </c>
      <c r="K6" s="105">
        <v>950</v>
      </c>
      <c r="L6" s="105">
        <v>1500</v>
      </c>
      <c r="M6" s="105">
        <v>2200</v>
      </c>
      <c r="N6" s="105">
        <v>3770</v>
      </c>
      <c r="O6" s="105">
        <v>6160</v>
      </c>
      <c r="P6" s="105">
        <v>8500</v>
      </c>
    </row>
    <row r="7" spans="1:16" x14ac:dyDescent="0.25">
      <c r="A7" s="105">
        <v>10</v>
      </c>
      <c r="B7" s="105">
        <v>80</v>
      </c>
      <c r="C7" s="105">
        <v>24</v>
      </c>
      <c r="D7" s="105">
        <v>52</v>
      </c>
      <c r="E7" s="105">
        <v>95</v>
      </c>
      <c r="F7" s="105">
        <v>150</v>
      </c>
      <c r="G7" s="105">
        <v>210</v>
      </c>
      <c r="H7" s="105">
        <v>380</v>
      </c>
      <c r="I7" s="105">
        <v>600</v>
      </c>
      <c r="J7" s="105">
        <v>900</v>
      </c>
      <c r="K7" s="105">
        <v>1500</v>
      </c>
      <c r="L7" s="105">
        <v>2400</v>
      </c>
      <c r="M7" s="105">
        <v>3300</v>
      </c>
      <c r="N7" s="105">
        <v>5900</v>
      </c>
      <c r="O7" s="105">
        <v>9700</v>
      </c>
      <c r="P7" s="105">
        <v>13000</v>
      </c>
    </row>
    <row r="8" spans="1:16" x14ac:dyDescent="0.25">
      <c r="A8" s="105">
        <v>10</v>
      </c>
      <c r="B8" s="105">
        <v>120</v>
      </c>
      <c r="C8" s="105">
        <v>35</v>
      </c>
      <c r="D8" s="105">
        <v>72</v>
      </c>
      <c r="E8" s="105">
        <v>135</v>
      </c>
      <c r="F8" s="105">
        <v>210</v>
      </c>
      <c r="G8" s="105">
        <v>330</v>
      </c>
      <c r="H8" s="105">
        <v>590</v>
      </c>
      <c r="I8" s="105">
        <v>850</v>
      </c>
      <c r="J8" s="105">
        <v>1250</v>
      </c>
      <c r="K8" s="105">
        <v>2200</v>
      </c>
      <c r="L8" s="105">
        <v>3400</v>
      </c>
      <c r="M8" s="105">
        <v>4800</v>
      </c>
      <c r="N8" s="105">
        <v>9000</v>
      </c>
      <c r="O8" s="105">
        <v>14400</v>
      </c>
      <c r="P8" s="105">
        <v>20500</v>
      </c>
    </row>
    <row r="9" spans="1:16" x14ac:dyDescent="0.25">
      <c r="A9" s="105">
        <v>20</v>
      </c>
      <c r="B9" s="105">
        <v>50</v>
      </c>
      <c r="C9" s="104">
        <v>21</v>
      </c>
      <c r="D9" s="104">
        <v>47</v>
      </c>
      <c r="E9" s="104">
        <v>82</v>
      </c>
      <c r="F9" s="104">
        <v>123</v>
      </c>
      <c r="G9" s="104">
        <v>185</v>
      </c>
      <c r="H9" s="104">
        <v>210</v>
      </c>
      <c r="I9" s="104">
        <v>520</v>
      </c>
      <c r="J9" s="104">
        <v>740</v>
      </c>
      <c r="K9" s="104">
        <v>1340</v>
      </c>
      <c r="L9" s="104">
        <v>1980</v>
      </c>
      <c r="M9" s="104">
        <v>2900</v>
      </c>
      <c r="N9" s="104">
        <v>5300</v>
      </c>
      <c r="O9" s="104">
        <v>8000</v>
      </c>
      <c r="P9" s="104">
        <v>11500</v>
      </c>
    </row>
    <row r="10" spans="1:16" x14ac:dyDescent="0.25">
      <c r="A10" s="105">
        <v>20</v>
      </c>
      <c r="B10" s="105">
        <v>80</v>
      </c>
      <c r="C10" s="104">
        <v>32</v>
      </c>
      <c r="D10" s="104">
        <v>70</v>
      </c>
      <c r="E10" s="104">
        <v>120</v>
      </c>
      <c r="F10" s="104">
        <v>190</v>
      </c>
      <c r="G10" s="104">
        <v>260</v>
      </c>
      <c r="H10" s="104">
        <v>520</v>
      </c>
      <c r="I10" s="104">
        <v>810</v>
      </c>
      <c r="J10" s="104">
        <v>1100</v>
      </c>
      <c r="K10" s="104">
        <v>1900</v>
      </c>
      <c r="L10" s="104">
        <v>3100</v>
      </c>
      <c r="M10" s="104">
        <v>4500</v>
      </c>
      <c r="N10" s="104">
        <v>8400</v>
      </c>
      <c r="O10" s="104">
        <v>13200</v>
      </c>
      <c r="P10" s="104">
        <v>18300</v>
      </c>
    </row>
    <row r="11" spans="1:16" x14ac:dyDescent="0.25">
      <c r="A11" s="105">
        <v>20</v>
      </c>
      <c r="B11" s="105">
        <v>120</v>
      </c>
      <c r="C11" s="104">
        <v>50</v>
      </c>
      <c r="D11" s="104">
        <v>105</v>
      </c>
      <c r="E11" s="104">
        <v>190</v>
      </c>
      <c r="F11" s="104">
        <v>300</v>
      </c>
      <c r="G11" s="104">
        <v>440</v>
      </c>
      <c r="H11" s="104">
        <v>840</v>
      </c>
      <c r="I11" s="104">
        <v>1250</v>
      </c>
      <c r="J11" s="104">
        <v>1720</v>
      </c>
      <c r="K11" s="104">
        <v>3100</v>
      </c>
      <c r="L11" s="104">
        <v>4850</v>
      </c>
      <c r="M11" s="104">
        <v>6750</v>
      </c>
      <c r="N11" s="104">
        <v>1300</v>
      </c>
      <c r="O11" s="104">
        <v>19800</v>
      </c>
      <c r="P11" s="104">
        <v>28000</v>
      </c>
    </row>
    <row r="12" spans="1:16" x14ac:dyDescent="0.25">
      <c r="A12" s="105">
        <v>30</v>
      </c>
      <c r="B12" s="105">
        <v>50</v>
      </c>
      <c r="C12" s="104">
        <v>26</v>
      </c>
      <c r="D12" s="104">
        <v>56</v>
      </c>
      <c r="E12" s="104">
        <v>100</v>
      </c>
      <c r="F12" s="104">
        <v>160</v>
      </c>
      <c r="G12" s="104">
        <v>230</v>
      </c>
      <c r="H12" s="104">
        <v>420</v>
      </c>
      <c r="I12" s="104">
        <v>650</v>
      </c>
      <c r="J12" s="104">
        <v>950</v>
      </c>
      <c r="K12" s="104">
        <v>1650</v>
      </c>
      <c r="L12" s="104">
        <v>2600</v>
      </c>
      <c r="M12" s="104">
        <v>3650</v>
      </c>
      <c r="N12" s="104">
        <v>6500</v>
      </c>
      <c r="O12" s="104">
        <v>10500</v>
      </c>
      <c r="P12" s="104">
        <v>14500</v>
      </c>
    </row>
    <row r="13" spans="1:16" x14ac:dyDescent="0.25">
      <c r="A13" s="105">
        <v>30</v>
      </c>
      <c r="B13" s="105">
        <v>80</v>
      </c>
      <c r="C13" s="104">
        <v>42</v>
      </c>
      <c r="D13" s="104">
        <v>94</v>
      </c>
      <c r="E13" s="104">
        <v>155</v>
      </c>
      <c r="F13" s="104">
        <v>250</v>
      </c>
      <c r="G13" s="104">
        <v>360</v>
      </c>
      <c r="H13" s="104">
        <v>655</v>
      </c>
      <c r="I13" s="104">
        <v>950</v>
      </c>
      <c r="J13" s="104">
        <v>1460</v>
      </c>
      <c r="K13" s="104">
        <v>2700</v>
      </c>
      <c r="L13" s="104">
        <v>3900</v>
      </c>
      <c r="M13" s="104">
        <v>5600</v>
      </c>
      <c r="N13" s="104">
        <v>10700</v>
      </c>
      <c r="O13" s="104">
        <v>16500</v>
      </c>
      <c r="P13" s="104">
        <v>23500</v>
      </c>
    </row>
    <row r="14" spans="1:16" x14ac:dyDescent="0.25">
      <c r="A14" s="105">
        <v>30</v>
      </c>
      <c r="B14" s="105">
        <v>120</v>
      </c>
      <c r="C14" s="104">
        <v>62</v>
      </c>
      <c r="D14" s="104">
        <v>130</v>
      </c>
      <c r="E14" s="104">
        <v>240</v>
      </c>
      <c r="F14" s="104">
        <v>370</v>
      </c>
      <c r="G14" s="104">
        <v>570</v>
      </c>
      <c r="H14" s="104">
        <v>990</v>
      </c>
      <c r="I14" s="104">
        <v>1550</v>
      </c>
      <c r="J14" s="104">
        <v>2100</v>
      </c>
      <c r="K14" s="104">
        <v>3950</v>
      </c>
      <c r="L14" s="104">
        <v>6100</v>
      </c>
      <c r="M14" s="104">
        <v>8700</v>
      </c>
      <c r="N14" s="104">
        <v>16000</v>
      </c>
      <c r="O14" s="104">
        <v>25000</v>
      </c>
      <c r="P14" s="104">
        <v>35000</v>
      </c>
    </row>
    <row r="15" spans="1:16" x14ac:dyDescent="0.25">
      <c r="A15" s="105">
        <v>40</v>
      </c>
      <c r="B15" s="105">
        <v>50</v>
      </c>
      <c r="C15" s="104">
        <v>32</v>
      </c>
      <c r="D15" s="104">
        <v>75</v>
      </c>
      <c r="E15" s="104">
        <v>120</v>
      </c>
      <c r="F15" s="104">
        <v>190</v>
      </c>
      <c r="G15" s="104">
        <v>260</v>
      </c>
      <c r="H15" s="104">
        <v>505</v>
      </c>
      <c r="I15" s="104">
        <v>790</v>
      </c>
      <c r="J15" s="104">
        <v>1100</v>
      </c>
      <c r="K15" s="104">
        <v>1900</v>
      </c>
      <c r="L15" s="104">
        <v>3100</v>
      </c>
      <c r="M15" s="104">
        <v>4200</v>
      </c>
      <c r="N15" s="104">
        <v>8200</v>
      </c>
      <c r="O15" s="104">
        <v>12800</v>
      </c>
      <c r="P15" s="104">
        <v>18000</v>
      </c>
    </row>
    <row r="16" spans="1:16" x14ac:dyDescent="0.25">
      <c r="A16" s="105">
        <v>40</v>
      </c>
      <c r="B16" s="105">
        <v>80</v>
      </c>
      <c r="C16" s="104">
        <v>51</v>
      </c>
      <c r="D16" s="104">
        <v>110</v>
      </c>
      <c r="E16" s="104">
        <v>195</v>
      </c>
      <c r="F16" s="104">
        <v>300</v>
      </c>
      <c r="G16" s="104">
        <v>445</v>
      </c>
      <c r="H16" s="104">
        <v>840</v>
      </c>
      <c r="I16" s="104">
        <v>1250</v>
      </c>
      <c r="J16" s="104">
        <v>1800</v>
      </c>
      <c r="K16" s="104">
        <v>3120</v>
      </c>
      <c r="L16" s="104">
        <v>4900</v>
      </c>
      <c r="M16" s="104">
        <v>6800</v>
      </c>
      <c r="N16" s="104">
        <v>13400</v>
      </c>
      <c r="O16" s="104">
        <v>20300</v>
      </c>
      <c r="P16" s="104">
        <v>28300</v>
      </c>
    </row>
    <row r="17" spans="1:16" x14ac:dyDescent="0.25">
      <c r="A17" s="105">
        <v>40</v>
      </c>
      <c r="B17" s="105">
        <v>120</v>
      </c>
      <c r="C17" s="104">
        <v>75</v>
      </c>
      <c r="D17" s="104">
        <v>160</v>
      </c>
      <c r="E17" s="104">
        <v>290</v>
      </c>
      <c r="F17" s="104">
        <v>460</v>
      </c>
      <c r="G17" s="104">
        <v>660</v>
      </c>
      <c r="H17" s="104">
        <v>1100</v>
      </c>
      <c r="I17" s="104">
        <v>1900</v>
      </c>
      <c r="J17" s="104">
        <v>2700</v>
      </c>
      <c r="K17" s="104">
        <v>4700</v>
      </c>
      <c r="L17" s="104">
        <v>7500</v>
      </c>
      <c r="M17" s="104">
        <v>11000</v>
      </c>
      <c r="N17" s="104">
        <v>19400</v>
      </c>
      <c r="O17" s="104">
        <v>30500</v>
      </c>
      <c r="P17" s="104">
        <v>42500</v>
      </c>
    </row>
    <row r="18" spans="1:16" x14ac:dyDescent="0.25">
      <c r="A18" s="105">
        <v>60</v>
      </c>
      <c r="B18" s="105">
        <v>50</v>
      </c>
      <c r="C18" s="104">
        <v>43</v>
      </c>
      <c r="D18" s="104">
        <v>95</v>
      </c>
      <c r="E18" s="104">
        <v>160</v>
      </c>
      <c r="F18" s="104">
        <v>250</v>
      </c>
      <c r="G18" s="104">
        <v>360</v>
      </c>
      <c r="H18" s="104">
        <v>650</v>
      </c>
      <c r="I18" s="104">
        <v>1000</v>
      </c>
      <c r="J18" s="104">
        <v>1470</v>
      </c>
      <c r="K18" s="104">
        <v>2700</v>
      </c>
      <c r="L18" s="104">
        <v>3900</v>
      </c>
      <c r="M18" s="104">
        <v>5700</v>
      </c>
      <c r="N18" s="104">
        <v>10700</v>
      </c>
      <c r="O18" s="104">
        <v>16500</v>
      </c>
      <c r="P18" s="104">
        <v>24000</v>
      </c>
    </row>
    <row r="19" spans="1:16" x14ac:dyDescent="0.25">
      <c r="A19" s="105">
        <v>60</v>
      </c>
      <c r="B19" s="105">
        <v>80</v>
      </c>
      <c r="C19" s="104">
        <v>65</v>
      </c>
      <c r="D19" s="104">
        <v>140</v>
      </c>
      <c r="E19" s="104">
        <v>250</v>
      </c>
      <c r="F19" s="104">
        <v>400</v>
      </c>
      <c r="G19" s="104">
        <v>600</v>
      </c>
      <c r="H19" s="104">
        <v>1000</v>
      </c>
      <c r="I19" s="104">
        <v>1650</v>
      </c>
      <c r="J19" s="104">
        <v>2400</v>
      </c>
      <c r="K19" s="104">
        <v>4400</v>
      </c>
      <c r="L19" s="104">
        <v>6500</v>
      </c>
      <c r="M19" s="104">
        <v>9400</v>
      </c>
      <c r="N19" s="104">
        <v>17500</v>
      </c>
      <c r="O19" s="104">
        <v>27200</v>
      </c>
      <c r="P19" s="104">
        <v>38500</v>
      </c>
    </row>
    <row r="20" spans="1:16" x14ac:dyDescent="0.25">
      <c r="A20" s="105">
        <v>60</v>
      </c>
      <c r="B20" s="105">
        <v>120</v>
      </c>
      <c r="C20" s="104">
        <v>102</v>
      </c>
      <c r="D20" s="104">
        <v>240</v>
      </c>
      <c r="E20" s="104">
        <v>410</v>
      </c>
      <c r="F20" s="104">
        <v>610</v>
      </c>
      <c r="G20" s="104">
        <v>950</v>
      </c>
      <c r="H20" s="104">
        <v>1660</v>
      </c>
      <c r="I20" s="104">
        <v>2600</v>
      </c>
      <c r="J20" s="104">
        <v>3800</v>
      </c>
      <c r="K20" s="104">
        <v>6500</v>
      </c>
      <c r="L20" s="104">
        <v>10300</v>
      </c>
      <c r="M20" s="104">
        <v>14700</v>
      </c>
      <c r="N20" s="104">
        <v>26400</v>
      </c>
      <c r="O20" s="104">
        <v>41000</v>
      </c>
      <c r="P20" s="104">
        <v>58000</v>
      </c>
    </row>
    <row r="21" spans="1:16" x14ac:dyDescent="0.25">
      <c r="A21" s="105">
        <v>80</v>
      </c>
      <c r="B21" s="105">
        <v>50</v>
      </c>
      <c r="C21" s="104">
        <v>53</v>
      </c>
      <c r="D21" s="104">
        <v>120</v>
      </c>
      <c r="E21" s="104">
        <v>215</v>
      </c>
      <c r="F21" s="104">
        <v>315</v>
      </c>
      <c r="G21" s="104">
        <v>460</v>
      </c>
      <c r="H21" s="104">
        <v>870</v>
      </c>
      <c r="I21" s="104">
        <v>1300</v>
      </c>
      <c r="J21" s="104">
        <v>1900</v>
      </c>
      <c r="K21" s="104">
        <v>3200</v>
      </c>
      <c r="L21" s="104">
        <v>5200</v>
      </c>
      <c r="M21" s="104">
        <v>7000</v>
      </c>
      <c r="N21" s="104">
        <v>13700</v>
      </c>
      <c r="O21" s="104">
        <v>21200</v>
      </c>
      <c r="P21" s="104">
        <v>29500</v>
      </c>
    </row>
    <row r="22" spans="1:16" x14ac:dyDescent="0.25">
      <c r="A22" s="105">
        <v>80</v>
      </c>
      <c r="B22" s="105">
        <v>80</v>
      </c>
      <c r="C22" s="104">
        <v>83</v>
      </c>
      <c r="D22" s="104">
        <v>190</v>
      </c>
      <c r="E22" s="104">
        <v>320</v>
      </c>
      <c r="F22" s="104">
        <v>500</v>
      </c>
      <c r="G22" s="104">
        <v>730</v>
      </c>
      <c r="H22" s="104">
        <v>1300</v>
      </c>
      <c r="I22" s="104">
        <v>2100</v>
      </c>
      <c r="J22" s="104">
        <v>3000</v>
      </c>
      <c r="K22" s="104">
        <v>5000</v>
      </c>
      <c r="L22" s="104">
        <v>8400</v>
      </c>
      <c r="M22" s="104">
        <v>12200</v>
      </c>
      <c r="N22" s="104">
        <v>21000</v>
      </c>
      <c r="O22" s="104">
        <v>33800</v>
      </c>
      <c r="P22" s="104">
        <v>47500</v>
      </c>
    </row>
    <row r="23" spans="1:16" x14ac:dyDescent="0.25">
      <c r="A23" s="105">
        <v>80</v>
      </c>
      <c r="B23" s="105">
        <v>120</v>
      </c>
      <c r="C23" s="104">
        <v>130</v>
      </c>
      <c r="D23" s="104">
        <v>290</v>
      </c>
      <c r="E23" s="104">
        <v>500</v>
      </c>
      <c r="F23" s="104">
        <v>750</v>
      </c>
      <c r="G23" s="104">
        <v>1100</v>
      </c>
      <c r="H23" s="104">
        <v>1900</v>
      </c>
      <c r="I23" s="104">
        <v>3000</v>
      </c>
      <c r="J23" s="104">
        <v>4200</v>
      </c>
      <c r="K23" s="104">
        <v>7800</v>
      </c>
      <c r="L23" s="104">
        <v>12000</v>
      </c>
      <c r="M23" s="104">
        <v>17500</v>
      </c>
      <c r="N23" s="104">
        <v>30600</v>
      </c>
      <c r="O23" s="104">
        <v>51600</v>
      </c>
      <c r="P23" s="104">
        <v>71700</v>
      </c>
    </row>
    <row r="24" spans="1:16" x14ac:dyDescent="0.25">
      <c r="A24" s="105">
        <v>100</v>
      </c>
      <c r="B24" s="105">
        <v>50</v>
      </c>
      <c r="C24" s="104">
        <v>63</v>
      </c>
      <c r="D24" s="104">
        <v>130</v>
      </c>
      <c r="E24" s="104">
        <v>240</v>
      </c>
      <c r="F24" s="104">
        <v>360</v>
      </c>
      <c r="G24" s="104">
        <v>570</v>
      </c>
      <c r="H24" s="104">
        <v>980</v>
      </c>
      <c r="I24" s="104">
        <v>1550</v>
      </c>
      <c r="J24" s="104">
        <v>2100</v>
      </c>
      <c r="K24" s="104">
        <v>4000</v>
      </c>
      <c r="L24" s="104">
        <v>6100</v>
      </c>
      <c r="M24" s="104">
        <v>8800</v>
      </c>
      <c r="N24" s="104">
        <v>16300</v>
      </c>
      <c r="O24" s="104">
        <v>26500</v>
      </c>
      <c r="P24" s="104">
        <v>35500</v>
      </c>
    </row>
    <row r="25" spans="1:16" x14ac:dyDescent="0.25">
      <c r="A25" s="105">
        <v>100</v>
      </c>
      <c r="B25" s="105">
        <v>80</v>
      </c>
      <c r="C25" s="104">
        <v>102</v>
      </c>
      <c r="D25" s="104">
        <v>240</v>
      </c>
      <c r="E25" s="104">
        <v>400</v>
      </c>
      <c r="F25" s="104">
        <v>610</v>
      </c>
      <c r="G25" s="104">
        <v>950</v>
      </c>
      <c r="H25" s="104">
        <v>1660</v>
      </c>
      <c r="I25" s="104">
        <v>2550</v>
      </c>
      <c r="J25" s="104">
        <v>3700</v>
      </c>
      <c r="K25" s="104">
        <v>6400</v>
      </c>
      <c r="L25" s="104">
        <v>10200</v>
      </c>
      <c r="M25" s="104">
        <v>14600</v>
      </c>
      <c r="N25" s="104">
        <v>26000</v>
      </c>
      <c r="O25" s="104">
        <v>41000</v>
      </c>
      <c r="P25" s="104">
        <v>57300</v>
      </c>
    </row>
    <row r="26" spans="1:16" x14ac:dyDescent="0.25">
      <c r="A26" s="105">
        <v>100</v>
      </c>
      <c r="B26" s="105">
        <v>120</v>
      </c>
      <c r="C26" s="104">
        <v>150</v>
      </c>
      <c r="D26" s="104">
        <v>350</v>
      </c>
      <c r="E26" s="104">
        <v>600</v>
      </c>
      <c r="F26" s="104">
        <v>900</v>
      </c>
      <c r="G26" s="104">
        <v>1370</v>
      </c>
      <c r="H26" s="104">
        <v>2400</v>
      </c>
      <c r="I26" s="104">
        <v>3700</v>
      </c>
      <c r="J26" s="104">
        <v>5000</v>
      </c>
      <c r="K26" s="104">
        <v>9100</v>
      </c>
      <c r="L26" s="104">
        <v>15000</v>
      </c>
      <c r="M26" s="104">
        <v>21600</v>
      </c>
      <c r="N26" s="104">
        <v>38000</v>
      </c>
      <c r="O26" s="104">
        <v>61500</v>
      </c>
      <c r="P26" s="104">
        <v>86300</v>
      </c>
    </row>
    <row r="27" spans="1:16" x14ac:dyDescent="0.25">
      <c r="A27" s="105">
        <v>120</v>
      </c>
      <c r="B27" s="105">
        <v>50</v>
      </c>
      <c r="C27" s="104">
        <v>74</v>
      </c>
      <c r="D27" s="104">
        <v>160</v>
      </c>
      <c r="E27" s="104">
        <v>290</v>
      </c>
      <c r="F27" s="104">
        <v>440</v>
      </c>
      <c r="G27" s="104">
        <v>660</v>
      </c>
      <c r="H27" s="104">
        <v>1100</v>
      </c>
      <c r="I27" s="104">
        <v>1850</v>
      </c>
      <c r="J27" s="104">
        <v>2600</v>
      </c>
      <c r="K27" s="104">
        <v>4600</v>
      </c>
      <c r="L27" s="104">
        <v>7000</v>
      </c>
      <c r="M27" s="104">
        <v>10500</v>
      </c>
      <c r="N27" s="104">
        <v>18600</v>
      </c>
      <c r="O27" s="104">
        <v>29200</v>
      </c>
      <c r="P27" s="104">
        <v>41000</v>
      </c>
    </row>
    <row r="28" spans="1:16" x14ac:dyDescent="0.25">
      <c r="A28" s="105">
        <v>120</v>
      </c>
      <c r="B28" s="105">
        <v>80</v>
      </c>
      <c r="C28" s="104">
        <v>120</v>
      </c>
      <c r="D28" s="104">
        <v>270</v>
      </c>
      <c r="E28" s="104">
        <v>450</v>
      </c>
      <c r="F28" s="104">
        <v>710</v>
      </c>
      <c r="G28" s="104">
        <v>1030</v>
      </c>
      <c r="H28" s="104">
        <v>1800</v>
      </c>
      <c r="I28" s="104">
        <v>2800</v>
      </c>
      <c r="J28" s="104">
        <v>4150</v>
      </c>
      <c r="K28" s="104">
        <v>7200</v>
      </c>
      <c r="L28" s="104">
        <v>11600</v>
      </c>
      <c r="M28" s="104">
        <v>16500</v>
      </c>
      <c r="N28" s="104">
        <v>29200</v>
      </c>
      <c r="O28" s="104">
        <v>48000</v>
      </c>
      <c r="P28" s="104">
        <v>73800</v>
      </c>
    </row>
    <row r="29" spans="1:16" x14ac:dyDescent="0.25">
      <c r="A29" s="105">
        <v>120</v>
      </c>
      <c r="B29" s="105">
        <v>120</v>
      </c>
      <c r="C29" s="104">
        <v>175</v>
      </c>
      <c r="D29" s="104">
        <v>400</v>
      </c>
      <c r="E29" s="104">
        <v>680</v>
      </c>
      <c r="F29" s="104">
        <v>1060</v>
      </c>
      <c r="G29" s="104">
        <v>1520</v>
      </c>
      <c r="H29" s="104">
        <v>2850</v>
      </c>
      <c r="I29" s="104">
        <v>4300</v>
      </c>
      <c r="J29" s="104">
        <v>6500</v>
      </c>
      <c r="K29" s="104">
        <v>10700</v>
      </c>
      <c r="L29" s="104">
        <v>17500</v>
      </c>
      <c r="M29" s="104">
        <v>26000</v>
      </c>
      <c r="N29" s="104">
        <v>44300</v>
      </c>
      <c r="O29" s="104">
        <v>70200</v>
      </c>
      <c r="P29" s="104">
        <v>97700</v>
      </c>
    </row>
    <row r="30" spans="1:16" x14ac:dyDescent="0.25">
      <c r="A30" s="105">
        <v>150</v>
      </c>
      <c r="B30" s="105">
        <v>50</v>
      </c>
      <c r="C30" s="104">
        <v>90</v>
      </c>
      <c r="D30" s="104">
        <v>208</v>
      </c>
      <c r="E30" s="104">
        <v>340</v>
      </c>
      <c r="F30" s="104">
        <v>550</v>
      </c>
      <c r="G30" s="104">
        <v>820</v>
      </c>
      <c r="H30" s="104">
        <v>1380</v>
      </c>
      <c r="I30" s="104">
        <v>2230</v>
      </c>
      <c r="J30" s="104">
        <v>3220</v>
      </c>
      <c r="K30" s="104">
        <v>5500</v>
      </c>
      <c r="L30" s="104">
        <v>8800</v>
      </c>
      <c r="M30" s="104">
        <v>12900</v>
      </c>
      <c r="N30" s="104">
        <v>22000</v>
      </c>
      <c r="O30" s="104">
        <v>35600</v>
      </c>
      <c r="P30" s="104">
        <v>50000</v>
      </c>
    </row>
    <row r="31" spans="1:16" x14ac:dyDescent="0.25">
      <c r="A31" s="105">
        <v>150</v>
      </c>
      <c r="B31" s="105">
        <v>80</v>
      </c>
      <c r="C31" s="104">
        <v>145</v>
      </c>
      <c r="D31" s="104">
        <v>320</v>
      </c>
      <c r="E31" s="104">
        <v>570</v>
      </c>
      <c r="F31" s="104">
        <v>900</v>
      </c>
      <c r="G31" s="104">
        <v>1250</v>
      </c>
      <c r="H31" s="104">
        <v>2200</v>
      </c>
      <c r="I31" s="104">
        <v>3400</v>
      </c>
      <c r="J31" s="104">
        <v>4900</v>
      </c>
      <c r="K31" s="104">
        <v>8500</v>
      </c>
      <c r="L31" s="104">
        <v>14000</v>
      </c>
      <c r="M31" s="104">
        <v>20000</v>
      </c>
      <c r="N31" s="104">
        <v>35500</v>
      </c>
      <c r="O31" s="104">
        <v>57500</v>
      </c>
      <c r="P31" s="104">
        <v>79800</v>
      </c>
    </row>
    <row r="32" spans="1:16" x14ac:dyDescent="0.25">
      <c r="A32" s="105">
        <v>150</v>
      </c>
      <c r="B32" s="105">
        <v>120</v>
      </c>
      <c r="C32" s="104">
        <v>215</v>
      </c>
      <c r="D32" s="104">
        <v>450</v>
      </c>
      <c r="E32" s="104">
        <v>850</v>
      </c>
      <c r="F32" s="104">
        <v>1280</v>
      </c>
      <c r="G32" s="104">
        <v>1890</v>
      </c>
      <c r="H32" s="104">
        <v>3400</v>
      </c>
      <c r="I32" s="104">
        <v>5300</v>
      </c>
      <c r="J32" s="104">
        <v>7500</v>
      </c>
      <c r="K32" s="104">
        <v>13400</v>
      </c>
      <c r="L32" s="104">
        <v>20600</v>
      </c>
      <c r="M32" s="104">
        <v>30000</v>
      </c>
      <c r="N32" s="104">
        <v>55500</v>
      </c>
      <c r="O32" s="104">
        <v>85500</v>
      </c>
      <c r="P32" s="104">
        <v>120000</v>
      </c>
    </row>
    <row r="33" spans="1:16" x14ac:dyDescent="0.25">
      <c r="A33" s="105">
        <v>200</v>
      </c>
      <c r="B33" s="105">
        <v>50</v>
      </c>
      <c r="C33" s="104">
        <v>110</v>
      </c>
      <c r="D33" s="104">
        <v>265</v>
      </c>
      <c r="E33" s="104">
        <v>450</v>
      </c>
      <c r="F33" s="104">
        <v>680</v>
      </c>
      <c r="G33" s="104">
        <v>1020</v>
      </c>
      <c r="H33" s="104">
        <v>1780</v>
      </c>
      <c r="I33" s="104">
        <v>2800</v>
      </c>
      <c r="J33" s="104">
        <v>4120</v>
      </c>
      <c r="K33" s="104">
        <v>7100</v>
      </c>
      <c r="L33" s="104">
        <v>11500</v>
      </c>
      <c r="M33" s="104">
        <v>16300</v>
      </c>
      <c r="N33" s="104">
        <v>28500</v>
      </c>
      <c r="O33" s="104">
        <v>45300</v>
      </c>
      <c r="P33" s="104">
        <v>64000</v>
      </c>
    </row>
    <row r="34" spans="1:16" x14ac:dyDescent="0.25">
      <c r="A34" s="105">
        <v>200</v>
      </c>
      <c r="B34" s="105">
        <v>80</v>
      </c>
      <c r="C34" s="104">
        <v>180</v>
      </c>
      <c r="D34" s="104">
        <v>410</v>
      </c>
      <c r="E34" s="104">
        <v>700</v>
      </c>
      <c r="F34" s="104">
        <v>1100</v>
      </c>
      <c r="G34" s="104">
        <v>1560</v>
      </c>
      <c r="H34" s="104">
        <v>2910</v>
      </c>
      <c r="I34" s="104">
        <v>4400</v>
      </c>
      <c r="J34" s="104">
        <v>6600</v>
      </c>
      <c r="K34" s="104">
        <v>11000</v>
      </c>
      <c r="L34" s="104">
        <v>18000</v>
      </c>
      <c r="M34" s="104">
        <v>26600</v>
      </c>
      <c r="N34" s="104">
        <v>46000</v>
      </c>
      <c r="O34" s="104">
        <v>72300</v>
      </c>
      <c r="P34" s="104">
        <v>100000</v>
      </c>
    </row>
    <row r="35" spans="1:16" x14ac:dyDescent="0.25">
      <c r="A35" s="105">
        <v>200</v>
      </c>
      <c r="B35" s="105">
        <v>120</v>
      </c>
      <c r="C35" s="104">
        <v>250</v>
      </c>
      <c r="D35" s="104">
        <v>600</v>
      </c>
      <c r="E35" s="104">
        <v>1100</v>
      </c>
      <c r="F35" s="104">
        <v>1630</v>
      </c>
      <c r="G35" s="104">
        <v>2400</v>
      </c>
      <c r="H35" s="104">
        <v>4350</v>
      </c>
      <c r="I35" s="104">
        <v>6800</v>
      </c>
      <c r="J35" s="104">
        <v>9400</v>
      </c>
      <c r="K35" s="104">
        <v>16900</v>
      </c>
      <c r="L35" s="104">
        <v>25900</v>
      </c>
      <c r="M35" s="104">
        <v>37000</v>
      </c>
      <c r="N35" s="104">
        <v>70600</v>
      </c>
      <c r="O35" s="104">
        <v>109000</v>
      </c>
      <c r="P35" s="104">
        <v>152000</v>
      </c>
    </row>
  </sheetData>
  <mergeCells count="2">
    <mergeCell ref="A1:B1"/>
    <mergeCell ref="C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showGridLines="0" topLeftCell="A58" workbookViewId="0">
      <selection activeCell="L32" sqref="L32"/>
    </sheetView>
  </sheetViews>
  <sheetFormatPr defaultRowHeight="13.2" x14ac:dyDescent="0.25"/>
  <cols>
    <col min="1" max="1" width="4.88671875" customWidth="1"/>
  </cols>
  <sheetData>
    <row r="3" spans="2:2" ht="30" x14ac:dyDescent="0.25">
      <c r="B3" s="130" t="s">
        <v>196</v>
      </c>
    </row>
    <row r="5" spans="2:2" x14ac:dyDescent="0.25">
      <c r="B5" s="82" t="s">
        <v>197</v>
      </c>
    </row>
    <row r="7" spans="2:2" x14ac:dyDescent="0.25">
      <c r="B7" s="82" t="s">
        <v>198</v>
      </c>
    </row>
    <row r="9" spans="2:2" x14ac:dyDescent="0.25">
      <c r="B9" s="82" t="s">
        <v>199</v>
      </c>
    </row>
    <row r="13" spans="2:2" ht="22.8" x14ac:dyDescent="0.25">
      <c r="B13" s="131" t="s">
        <v>200</v>
      </c>
    </row>
    <row r="15" spans="2:2" x14ac:dyDescent="0.25">
      <c r="B15" s="82" t="s">
        <v>201</v>
      </c>
    </row>
    <row r="17" spans="2:2" x14ac:dyDescent="0.25">
      <c r="B17" s="132" t="s">
        <v>202</v>
      </c>
    </row>
    <row r="18" spans="2:2" x14ac:dyDescent="0.25">
      <c r="B18" s="61"/>
    </row>
    <row r="19" spans="2:2" x14ac:dyDescent="0.25">
      <c r="B19" s="90" t="s">
        <v>203</v>
      </c>
    </row>
    <row r="20" spans="2:2" x14ac:dyDescent="0.25">
      <c r="B20" s="61"/>
    </row>
    <row r="21" spans="2:2" x14ac:dyDescent="0.25">
      <c r="B21" s="55" t="s">
        <v>204</v>
      </c>
    </row>
    <row r="22" spans="2:2" x14ac:dyDescent="0.25">
      <c r="B22" s="61"/>
    </row>
    <row r="23" spans="2:2" x14ac:dyDescent="0.25">
      <c r="B23" s="90" t="s">
        <v>205</v>
      </c>
    </row>
    <row r="24" spans="2:2" x14ac:dyDescent="0.25">
      <c r="B24" s="61"/>
    </row>
    <row r="25" spans="2:2" x14ac:dyDescent="0.25">
      <c r="B25" s="55" t="s">
        <v>206</v>
      </c>
    </row>
    <row r="26" spans="2:2" x14ac:dyDescent="0.25">
      <c r="B26" s="61"/>
    </row>
    <row r="27" spans="2:2" x14ac:dyDescent="0.25">
      <c r="B27" s="90" t="s">
        <v>207</v>
      </c>
    </row>
    <row r="28" spans="2:2" x14ac:dyDescent="0.25">
      <c r="B28" s="61"/>
    </row>
    <row r="29" spans="2:2" x14ac:dyDescent="0.25">
      <c r="B29" s="55" t="s">
        <v>208</v>
      </c>
    </row>
    <row r="33" spans="2:2" ht="22.8" x14ac:dyDescent="0.25">
      <c r="B33" s="131" t="s">
        <v>209</v>
      </c>
    </row>
    <row r="35" spans="2:2" x14ac:dyDescent="0.25">
      <c r="B35" s="132" t="s">
        <v>210</v>
      </c>
    </row>
    <row r="36" spans="2:2" x14ac:dyDescent="0.25">
      <c r="B36" s="61"/>
    </row>
    <row r="37" spans="2:2" x14ac:dyDescent="0.25">
      <c r="B37" s="55" t="s">
        <v>211</v>
      </c>
    </row>
    <row r="38" spans="2:2" x14ac:dyDescent="0.25">
      <c r="B38" s="61"/>
    </row>
    <row r="39" spans="2:2" x14ac:dyDescent="0.25">
      <c r="B39" s="55" t="s">
        <v>212</v>
      </c>
    </row>
    <row r="40" spans="2:2" x14ac:dyDescent="0.25">
      <c r="B40" s="55" t="s">
        <v>213</v>
      </c>
    </row>
    <row r="41" spans="2:2" x14ac:dyDescent="0.25">
      <c r="B41" s="61"/>
    </row>
    <row r="42" spans="2:2" x14ac:dyDescent="0.25">
      <c r="B42" s="55" t="s">
        <v>214</v>
      </c>
    </row>
    <row r="44" spans="2:2" x14ac:dyDescent="0.25">
      <c r="B44" s="132" t="s">
        <v>215</v>
      </c>
    </row>
    <row r="46" spans="2:2" x14ac:dyDescent="0.25">
      <c r="B46" s="82" t="s">
        <v>216</v>
      </c>
    </row>
    <row r="48" spans="2:2" x14ac:dyDescent="0.25">
      <c r="B48" s="132" t="s">
        <v>217</v>
      </c>
    </row>
    <row r="50" spans="2:2" x14ac:dyDescent="0.25">
      <c r="B50" s="82" t="s">
        <v>218</v>
      </c>
    </row>
    <row r="52" spans="2:2" x14ac:dyDescent="0.25">
      <c r="B52" s="132" t="s">
        <v>219</v>
      </c>
    </row>
    <row r="53" spans="2:2" x14ac:dyDescent="0.25">
      <c r="B53" s="82" t="s">
        <v>220</v>
      </c>
    </row>
    <row r="55" spans="2:2" x14ac:dyDescent="0.25">
      <c r="B55" s="82" t="s">
        <v>221</v>
      </c>
    </row>
    <row r="57" spans="2:2" x14ac:dyDescent="0.25">
      <c r="B57" s="132" t="s">
        <v>222</v>
      </c>
    </row>
    <row r="59" spans="2:2" x14ac:dyDescent="0.25">
      <c r="B59" s="82" t="s">
        <v>223</v>
      </c>
    </row>
    <row r="62" spans="2:2" ht="22.8" x14ac:dyDescent="0.25">
      <c r="B62" s="131" t="s">
        <v>224</v>
      </c>
    </row>
    <row r="64" spans="2:2" x14ac:dyDescent="0.25">
      <c r="B64" s="82" t="s">
        <v>225</v>
      </c>
    </row>
    <row r="65" spans="2:2" x14ac:dyDescent="0.25">
      <c r="B65" s="82" t="s">
        <v>226</v>
      </c>
    </row>
    <row r="66" spans="2:2" x14ac:dyDescent="0.25">
      <c r="B66" s="82" t="s">
        <v>227</v>
      </c>
    </row>
    <row r="67" spans="2:2" x14ac:dyDescent="0.25">
      <c r="B67" s="82" t="s">
        <v>228</v>
      </c>
    </row>
    <row r="69" spans="2:2" x14ac:dyDescent="0.25">
      <c r="B69" s="132" t="s">
        <v>229</v>
      </c>
    </row>
    <row r="70" spans="2:2" x14ac:dyDescent="0.25">
      <c r="B70" s="61"/>
    </row>
    <row r="71" spans="2:2" x14ac:dyDescent="0.25">
      <c r="B71" s="55" t="s">
        <v>230</v>
      </c>
    </row>
    <row r="72" spans="2:2" x14ac:dyDescent="0.25">
      <c r="B72" s="61"/>
    </row>
    <row r="73" spans="2:2" x14ac:dyDescent="0.25">
      <c r="B73" s="55" t="s">
        <v>231</v>
      </c>
    </row>
    <row r="74" spans="2:2" x14ac:dyDescent="0.25">
      <c r="B74" s="61"/>
    </row>
    <row r="75" spans="2:2" x14ac:dyDescent="0.25">
      <c r="B75" s="55" t="s">
        <v>232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J78"/>
  <sheetViews>
    <sheetView workbookViewId="0">
      <selection activeCell="M16" sqref="M16"/>
    </sheetView>
  </sheetViews>
  <sheetFormatPr defaultRowHeight="13.2" x14ac:dyDescent="0.25"/>
  <cols>
    <col min="3" max="3" width="17.109375" customWidth="1"/>
    <col min="4" max="4" width="19.33203125" style="86" customWidth="1"/>
    <col min="5" max="5" width="4" customWidth="1"/>
    <col min="6" max="6" width="18.44140625" style="86" customWidth="1"/>
    <col min="7" max="7" width="3.6640625" customWidth="1"/>
    <col min="8" max="8" width="17.5546875" style="286" customWidth="1"/>
    <col min="9" max="9" width="8.88671875" style="286"/>
    <col min="10" max="10" width="18.6640625" customWidth="1"/>
  </cols>
  <sheetData>
    <row r="1" spans="3:10" ht="39.6" x14ac:dyDescent="0.25">
      <c r="C1" s="65" t="s">
        <v>22</v>
      </c>
      <c r="D1" s="84" t="s">
        <v>23</v>
      </c>
      <c r="F1" s="84" t="s">
        <v>75</v>
      </c>
      <c r="H1" s="287" t="s">
        <v>374</v>
      </c>
      <c r="I1" s="287"/>
    </row>
    <row r="2" spans="3:10" x14ac:dyDescent="0.25">
      <c r="C2" s="88" t="s">
        <v>77</v>
      </c>
      <c r="D2" s="84"/>
      <c r="F2" s="87">
        <v>14.7</v>
      </c>
      <c r="G2" s="286"/>
      <c r="H2" s="286">
        <v>1.0135274893476192</v>
      </c>
      <c r="J2" s="89" t="s">
        <v>78</v>
      </c>
    </row>
    <row r="3" spans="3:10" x14ac:dyDescent="0.25">
      <c r="C3" s="83" t="s">
        <v>459</v>
      </c>
      <c r="D3" s="85"/>
      <c r="F3" s="85"/>
      <c r="G3" s="286"/>
    </row>
    <row r="4" spans="3:10" x14ac:dyDescent="0.25">
      <c r="C4" s="83" t="s">
        <v>24</v>
      </c>
      <c r="D4" s="85">
        <v>30.04</v>
      </c>
      <c r="F4" s="85">
        <v>14.75</v>
      </c>
      <c r="G4" s="286"/>
      <c r="H4" s="286">
        <v>1.0169748617603662</v>
      </c>
      <c r="J4" s="82" t="s">
        <v>76</v>
      </c>
    </row>
    <row r="5" spans="3:10" x14ac:dyDescent="0.25">
      <c r="C5" s="83" t="s">
        <v>25</v>
      </c>
      <c r="D5" s="85">
        <v>29.93</v>
      </c>
      <c r="F5" s="85">
        <v>14.64</v>
      </c>
      <c r="G5" s="286"/>
      <c r="H5" s="286">
        <v>1.0093906424523229</v>
      </c>
    </row>
    <row r="6" spans="3:10" x14ac:dyDescent="0.25">
      <c r="C6" s="83" t="s">
        <v>26</v>
      </c>
      <c r="D6" s="85">
        <v>29.96</v>
      </c>
      <c r="F6" s="85">
        <v>14.66</v>
      </c>
      <c r="G6" s="286"/>
      <c r="H6" s="286">
        <v>1.0107695914174217</v>
      </c>
    </row>
    <row r="7" spans="3:10" x14ac:dyDescent="0.25">
      <c r="C7" s="83" t="s">
        <v>27</v>
      </c>
      <c r="D7" s="85">
        <v>30.03</v>
      </c>
      <c r="F7" s="85">
        <v>14.73</v>
      </c>
      <c r="G7" s="286"/>
      <c r="H7" s="286">
        <v>1.0155959127952674</v>
      </c>
    </row>
    <row r="8" spans="3:10" x14ac:dyDescent="0.25">
      <c r="C8" s="83" t="s">
        <v>28</v>
      </c>
      <c r="D8" s="85">
        <v>29.99</v>
      </c>
      <c r="F8" s="85">
        <v>14.68</v>
      </c>
      <c r="G8" s="286"/>
      <c r="H8" s="286">
        <v>1.0121485403825203</v>
      </c>
    </row>
    <row r="9" spans="3:10" x14ac:dyDescent="0.25">
      <c r="C9" s="83" t="s">
        <v>29</v>
      </c>
      <c r="D9" s="85">
        <v>29.92</v>
      </c>
      <c r="F9" s="85">
        <v>14.63</v>
      </c>
      <c r="G9" s="286"/>
      <c r="H9" s="286">
        <v>1.0087011679697735</v>
      </c>
    </row>
    <row r="10" spans="3:10" x14ac:dyDescent="0.25">
      <c r="C10" s="83" t="s">
        <v>30</v>
      </c>
      <c r="D10" s="85">
        <v>30.08</v>
      </c>
      <c r="F10" s="85">
        <v>14.79</v>
      </c>
      <c r="G10" s="286"/>
      <c r="H10" s="286">
        <v>1.0197327596905639</v>
      </c>
    </row>
    <row r="11" spans="3:10" x14ac:dyDescent="0.25">
      <c r="C11" s="83" t="s">
        <v>31</v>
      </c>
      <c r="D11" s="85">
        <v>30.06</v>
      </c>
      <c r="F11" s="85">
        <v>14.76</v>
      </c>
      <c r="G11" s="286"/>
      <c r="H11" s="288">
        <v>1.0176643362429156</v>
      </c>
      <c r="I11" s="288"/>
    </row>
    <row r="12" spans="3:10" x14ac:dyDescent="0.25">
      <c r="C12" s="83" t="s">
        <v>32</v>
      </c>
      <c r="D12" s="85">
        <v>30.05</v>
      </c>
      <c r="F12" s="85">
        <v>14.74</v>
      </c>
      <c r="G12" s="286"/>
      <c r="H12" s="286">
        <v>1.0162853872778168</v>
      </c>
    </row>
    <row r="13" spans="3:10" x14ac:dyDescent="0.25">
      <c r="C13" s="83" t="s">
        <v>33</v>
      </c>
      <c r="D13" s="85">
        <v>30.04</v>
      </c>
      <c r="F13" s="85">
        <v>14.74</v>
      </c>
      <c r="G13" s="286"/>
      <c r="H13" s="286">
        <v>1.0162853872778168</v>
      </c>
    </row>
    <row r="14" spans="3:10" x14ac:dyDescent="0.25">
      <c r="C14" s="83" t="s">
        <v>34</v>
      </c>
      <c r="D14" s="85">
        <v>29.92</v>
      </c>
      <c r="F14" s="85">
        <v>14.63</v>
      </c>
      <c r="G14" s="286"/>
      <c r="H14" s="286">
        <v>1.0087011679697735</v>
      </c>
    </row>
    <row r="15" spans="3:10" x14ac:dyDescent="0.25">
      <c r="C15" s="83" t="s">
        <v>35</v>
      </c>
      <c r="D15" s="85">
        <v>29.95</v>
      </c>
      <c r="F15" s="85">
        <v>14.71</v>
      </c>
      <c r="G15" s="286"/>
      <c r="H15" s="286">
        <v>1.0142169638301688</v>
      </c>
    </row>
    <row r="16" spans="3:10" x14ac:dyDescent="0.25">
      <c r="C16" s="83" t="s">
        <v>36</v>
      </c>
      <c r="D16" s="85">
        <v>30.02</v>
      </c>
      <c r="F16" s="85">
        <v>14.74</v>
      </c>
      <c r="G16" s="286"/>
      <c r="H16" s="286">
        <v>1.0162853872778168</v>
      </c>
    </row>
    <row r="17" spans="3:8" x14ac:dyDescent="0.25">
      <c r="C17" s="83" t="s">
        <v>37</v>
      </c>
      <c r="D17" s="85">
        <v>30.03</v>
      </c>
      <c r="F17" s="85">
        <v>14.74</v>
      </c>
      <c r="G17" s="286"/>
      <c r="H17" s="286">
        <v>1.0162853872778168</v>
      </c>
    </row>
    <row r="18" spans="3:8" x14ac:dyDescent="0.25">
      <c r="C18" s="83" t="s">
        <v>38</v>
      </c>
      <c r="D18" s="85">
        <v>30.01</v>
      </c>
      <c r="F18" s="85">
        <v>14.72</v>
      </c>
      <c r="G18" s="286"/>
      <c r="H18" s="286">
        <v>1.014906438312718</v>
      </c>
    </row>
    <row r="19" spans="3:8" x14ac:dyDescent="0.25">
      <c r="C19" s="83" t="s">
        <v>39</v>
      </c>
      <c r="D19" s="85">
        <v>29.99</v>
      </c>
      <c r="F19" s="85">
        <v>14.69</v>
      </c>
      <c r="G19" s="286"/>
      <c r="H19" s="286">
        <v>1.0128380148650697</v>
      </c>
    </row>
    <row r="20" spans="3:8" x14ac:dyDescent="0.25">
      <c r="C20" s="83" t="s">
        <v>40</v>
      </c>
      <c r="D20" s="85">
        <v>30.03</v>
      </c>
      <c r="F20" s="85">
        <v>14.74</v>
      </c>
      <c r="G20" s="286"/>
      <c r="H20" s="286">
        <v>1.0162853872778168</v>
      </c>
    </row>
    <row r="21" spans="3:8" x14ac:dyDescent="0.25">
      <c r="C21" s="83" t="s">
        <v>41</v>
      </c>
      <c r="D21" s="85">
        <v>30.04</v>
      </c>
      <c r="F21" s="85">
        <v>14.75</v>
      </c>
      <c r="G21" s="286"/>
      <c r="H21" s="286">
        <v>1.0169748617603662</v>
      </c>
    </row>
    <row r="22" spans="3:8" x14ac:dyDescent="0.25">
      <c r="C22" s="83" t="s">
        <v>42</v>
      </c>
      <c r="D22" s="85">
        <v>30.09</v>
      </c>
      <c r="F22" s="85">
        <v>14.81</v>
      </c>
      <c r="G22" s="286"/>
      <c r="H22" s="286">
        <v>1.0211117086556627</v>
      </c>
    </row>
    <row r="23" spans="3:8" x14ac:dyDescent="0.25">
      <c r="C23" s="83" t="s">
        <v>43</v>
      </c>
      <c r="D23" s="85">
        <v>30.06</v>
      </c>
      <c r="F23" s="85">
        <v>14.76</v>
      </c>
      <c r="G23" s="286"/>
      <c r="H23" s="286">
        <v>1.0176643362429156</v>
      </c>
    </row>
    <row r="24" spans="3:8" x14ac:dyDescent="0.25">
      <c r="C24" s="83" t="s">
        <v>44</v>
      </c>
      <c r="D24" s="85">
        <v>30.08</v>
      </c>
      <c r="F24" s="85">
        <v>14.79</v>
      </c>
      <c r="G24" s="286"/>
      <c r="H24" s="286">
        <v>1.0197327596905639</v>
      </c>
    </row>
    <row r="25" spans="3:8" x14ac:dyDescent="0.25">
      <c r="C25" s="83" t="s">
        <v>45</v>
      </c>
      <c r="D25" s="85">
        <v>30.02</v>
      </c>
      <c r="F25" s="85">
        <v>14.73</v>
      </c>
      <c r="G25" s="286"/>
      <c r="H25" s="286">
        <v>1.0155959127952674</v>
      </c>
    </row>
    <row r="26" spans="3:8" x14ac:dyDescent="0.25">
      <c r="C26" s="83" t="s">
        <v>46</v>
      </c>
      <c r="D26" s="85">
        <v>30</v>
      </c>
      <c r="F26" s="85">
        <v>14.71</v>
      </c>
      <c r="G26" s="286"/>
      <c r="H26" s="286">
        <v>1.0142169638301688</v>
      </c>
    </row>
    <row r="27" spans="3:8" x14ac:dyDescent="0.25">
      <c r="C27" s="83" t="s">
        <v>47</v>
      </c>
      <c r="D27" s="85">
        <v>30.04</v>
      </c>
      <c r="F27" s="85">
        <v>14.75</v>
      </c>
      <c r="G27" s="286"/>
      <c r="H27" s="286">
        <v>1.0169748617603662</v>
      </c>
    </row>
    <row r="28" spans="3:8" x14ac:dyDescent="0.25">
      <c r="C28" s="83" t="s">
        <v>48</v>
      </c>
      <c r="D28" s="85">
        <v>30.02</v>
      </c>
      <c r="F28" s="85">
        <v>14.73</v>
      </c>
      <c r="G28" s="286"/>
      <c r="H28" s="286">
        <v>1.0155959127952674</v>
      </c>
    </row>
    <row r="29" spans="3:8" x14ac:dyDescent="0.25">
      <c r="C29" s="83" t="s">
        <v>49</v>
      </c>
      <c r="D29" s="85">
        <v>29.95</v>
      </c>
      <c r="F29" s="85">
        <v>14.69</v>
      </c>
      <c r="G29" s="286"/>
      <c r="H29" s="286">
        <v>1.0128380148650697</v>
      </c>
    </row>
    <row r="30" spans="3:8" x14ac:dyDescent="0.25">
      <c r="C30" s="83" t="s">
        <v>50</v>
      </c>
      <c r="D30" s="85">
        <v>30</v>
      </c>
      <c r="F30" s="85">
        <v>14.71</v>
      </c>
      <c r="G30" s="286"/>
      <c r="H30" s="286">
        <v>1.0142169638301688</v>
      </c>
    </row>
    <row r="31" spans="3:8" x14ac:dyDescent="0.25">
      <c r="C31" s="83" t="s">
        <v>51</v>
      </c>
      <c r="D31" s="85">
        <v>29.96</v>
      </c>
      <c r="F31" s="85">
        <v>14.69</v>
      </c>
      <c r="G31" s="286"/>
      <c r="H31" s="286">
        <v>1.0128380148650697</v>
      </c>
    </row>
    <row r="32" spans="3:8" x14ac:dyDescent="0.25">
      <c r="C32" s="83" t="s">
        <v>52</v>
      </c>
      <c r="D32" s="85">
        <v>30.08</v>
      </c>
      <c r="F32" s="85">
        <v>14.8</v>
      </c>
      <c r="G32" s="286"/>
      <c r="H32" s="286">
        <v>1.0204222341731133</v>
      </c>
    </row>
    <row r="33" spans="3:8" x14ac:dyDescent="0.25">
      <c r="C33" s="83" t="s">
        <v>53</v>
      </c>
      <c r="D33" s="85">
        <v>30.07</v>
      </c>
      <c r="F33" s="85">
        <v>14.77</v>
      </c>
      <c r="G33" s="286"/>
      <c r="H33" s="286">
        <v>1.018353810725465</v>
      </c>
    </row>
    <row r="34" spans="3:8" x14ac:dyDescent="0.25">
      <c r="C34" s="83" t="s">
        <v>54</v>
      </c>
      <c r="D34" s="85">
        <v>29.95</v>
      </c>
      <c r="F34" s="85">
        <v>14.68</v>
      </c>
      <c r="G34" s="286"/>
      <c r="H34" s="286">
        <v>1.0121485403825203</v>
      </c>
    </row>
    <row r="35" spans="3:8" x14ac:dyDescent="0.25">
      <c r="C35" s="83" t="s">
        <v>55</v>
      </c>
      <c r="D35" s="85">
        <v>30.07</v>
      </c>
      <c r="F35" s="85">
        <v>14.77</v>
      </c>
      <c r="G35" s="286"/>
      <c r="H35" s="286">
        <v>1.018353810725465</v>
      </c>
    </row>
    <row r="36" spans="3:8" x14ac:dyDescent="0.25">
      <c r="C36" s="83" t="s">
        <v>56</v>
      </c>
      <c r="D36" s="85">
        <v>30.05</v>
      </c>
      <c r="F36" s="85">
        <v>14.75</v>
      </c>
      <c r="G36" s="286"/>
      <c r="H36" s="286">
        <v>1.0169748617603662</v>
      </c>
    </row>
    <row r="37" spans="3:8" x14ac:dyDescent="0.25">
      <c r="C37" s="83" t="s">
        <v>57</v>
      </c>
      <c r="D37" s="85">
        <v>29.98</v>
      </c>
      <c r="F37" s="85">
        <v>14.7</v>
      </c>
      <c r="G37" s="286"/>
      <c r="H37" s="286">
        <v>1.0135274893476192</v>
      </c>
    </row>
    <row r="38" spans="3:8" x14ac:dyDescent="0.25">
      <c r="C38" s="83" t="s">
        <v>58</v>
      </c>
      <c r="D38" s="85">
        <v>30.03</v>
      </c>
      <c r="F38" s="85">
        <v>14.74</v>
      </c>
      <c r="G38" s="286"/>
      <c r="H38" s="286">
        <v>1.0162853872778168</v>
      </c>
    </row>
    <row r="39" spans="3:8" x14ac:dyDescent="0.25">
      <c r="C39" s="83" t="s">
        <v>59</v>
      </c>
      <c r="D39" s="85">
        <v>30.01</v>
      </c>
      <c r="F39" s="85">
        <v>14.71</v>
      </c>
      <c r="G39" s="286"/>
      <c r="H39" s="286">
        <v>1.0142169638301688</v>
      </c>
    </row>
    <row r="40" spans="3:8" x14ac:dyDescent="0.25">
      <c r="C40" s="83" t="s">
        <v>60</v>
      </c>
      <c r="D40" s="85">
        <v>29.98</v>
      </c>
      <c r="F40" s="85">
        <v>14.71</v>
      </c>
      <c r="G40" s="286"/>
      <c r="H40" s="286">
        <v>1.0142169638301688</v>
      </c>
    </row>
    <row r="41" spans="3:8" x14ac:dyDescent="0.25">
      <c r="C41" s="83" t="s">
        <v>61</v>
      </c>
      <c r="D41" s="85">
        <v>30.05</v>
      </c>
      <c r="F41" s="85">
        <v>14.76</v>
      </c>
      <c r="G41" s="286"/>
      <c r="H41" s="286">
        <v>1.0176643362429156</v>
      </c>
    </row>
    <row r="42" spans="3:8" x14ac:dyDescent="0.25">
      <c r="C42" s="83" t="s">
        <v>62</v>
      </c>
      <c r="D42" s="85">
        <v>30.08</v>
      </c>
      <c r="F42" s="85">
        <v>14.8</v>
      </c>
      <c r="G42" s="286"/>
      <c r="H42" s="286">
        <v>1.0204222341731133</v>
      </c>
    </row>
    <row r="43" spans="3:8" x14ac:dyDescent="0.25">
      <c r="C43" s="83" t="s">
        <v>63</v>
      </c>
      <c r="D43" s="85">
        <v>30.05</v>
      </c>
      <c r="F43" s="85">
        <v>14.75</v>
      </c>
      <c r="G43" s="286"/>
      <c r="H43" s="286">
        <v>1.0169748617603662</v>
      </c>
    </row>
    <row r="44" spans="3:8" x14ac:dyDescent="0.25">
      <c r="C44" s="83" t="s">
        <v>64</v>
      </c>
      <c r="D44" s="85">
        <v>29.99</v>
      </c>
      <c r="F44" s="85">
        <v>14.71</v>
      </c>
      <c r="G44" s="286"/>
      <c r="H44" s="286">
        <v>1.0142169638301688</v>
      </c>
    </row>
    <row r="45" spans="3:8" x14ac:dyDescent="0.25">
      <c r="C45" s="83" t="s">
        <v>65</v>
      </c>
      <c r="D45" s="85">
        <v>30.03</v>
      </c>
      <c r="F45" s="85">
        <v>14.74</v>
      </c>
      <c r="G45" s="286"/>
      <c r="H45" s="286">
        <v>1.0162853872778168</v>
      </c>
    </row>
    <row r="46" spans="3:8" x14ac:dyDescent="0.25">
      <c r="C46" s="83" t="s">
        <v>66</v>
      </c>
      <c r="D46" s="85">
        <v>30.02</v>
      </c>
      <c r="F46" s="85">
        <v>14.72</v>
      </c>
      <c r="G46" s="286"/>
      <c r="H46" s="286">
        <v>1.014906438312718</v>
      </c>
    </row>
    <row r="47" spans="3:8" x14ac:dyDescent="0.25">
      <c r="C47" s="83" t="s">
        <v>67</v>
      </c>
      <c r="D47" s="85">
        <v>29.95</v>
      </c>
      <c r="F47" s="85">
        <v>14.68</v>
      </c>
      <c r="G47" s="286"/>
      <c r="H47" s="286">
        <v>1.0121485403825203</v>
      </c>
    </row>
    <row r="48" spans="3:8" x14ac:dyDescent="0.25">
      <c r="C48" s="83" t="s">
        <v>68</v>
      </c>
      <c r="D48" s="85">
        <v>30.09</v>
      </c>
      <c r="F48" s="85">
        <v>14.81</v>
      </c>
      <c r="G48" s="286"/>
      <c r="H48" s="286">
        <v>1.0211117086556627</v>
      </c>
    </row>
    <row r="49" spans="3:8" x14ac:dyDescent="0.25">
      <c r="C49" s="83" t="s">
        <v>69</v>
      </c>
      <c r="D49" s="85">
        <v>30.06</v>
      </c>
      <c r="F49" s="85">
        <v>14.76</v>
      </c>
      <c r="G49" s="286"/>
      <c r="H49" s="286">
        <v>1.0176643362429156</v>
      </c>
    </row>
    <row r="50" spans="3:8" x14ac:dyDescent="0.25">
      <c r="C50" s="83" t="s">
        <v>70</v>
      </c>
      <c r="D50" s="85">
        <v>29.99</v>
      </c>
      <c r="F50" s="85">
        <v>14.71</v>
      </c>
      <c r="G50" s="286"/>
      <c r="H50" s="286">
        <v>1.0142169638301688</v>
      </c>
    </row>
    <row r="51" spans="3:8" x14ac:dyDescent="0.25">
      <c r="C51" s="83" t="s">
        <v>71</v>
      </c>
      <c r="D51" s="85">
        <v>30.04</v>
      </c>
      <c r="F51" s="85">
        <v>14.75</v>
      </c>
      <c r="G51" s="286"/>
      <c r="H51" s="286">
        <v>1.0169748617603662</v>
      </c>
    </row>
    <row r="52" spans="3:8" x14ac:dyDescent="0.25">
      <c r="C52" s="83" t="s">
        <v>72</v>
      </c>
      <c r="D52" s="85">
        <v>30.01</v>
      </c>
      <c r="F52" s="85">
        <v>14.72</v>
      </c>
      <c r="G52" s="286"/>
      <c r="H52" s="286">
        <v>1.014906438312718</v>
      </c>
    </row>
    <row r="53" spans="3:8" x14ac:dyDescent="0.25">
      <c r="C53" s="83" t="s">
        <v>73</v>
      </c>
      <c r="D53" s="85">
        <v>29.95</v>
      </c>
      <c r="F53" s="85">
        <v>14.68</v>
      </c>
      <c r="G53" s="286"/>
      <c r="H53" s="286">
        <v>1.0121485403825203</v>
      </c>
    </row>
    <row r="54" spans="3:8" x14ac:dyDescent="0.25">
      <c r="C54" s="83" t="s">
        <v>460</v>
      </c>
      <c r="D54" s="85">
        <v>26.41</v>
      </c>
      <c r="F54" s="85">
        <v>12.97</v>
      </c>
      <c r="G54" s="286"/>
    </row>
    <row r="55" spans="3:8" x14ac:dyDescent="0.25">
      <c r="C55" s="83" t="s">
        <v>461</v>
      </c>
      <c r="D55" s="85">
        <v>29.85</v>
      </c>
      <c r="F55" s="85">
        <v>14.66</v>
      </c>
      <c r="G55" s="286"/>
    </row>
    <row r="56" spans="3:8" x14ac:dyDescent="0.25">
      <c r="C56" s="83" t="s">
        <v>462</v>
      </c>
      <c r="D56" s="85">
        <v>29.09</v>
      </c>
      <c r="F56" s="85">
        <v>14.29</v>
      </c>
      <c r="G56" s="286"/>
    </row>
    <row r="57" spans="3:8" x14ac:dyDescent="0.25">
      <c r="C57" s="83" t="s">
        <v>463</v>
      </c>
      <c r="D57" s="85">
        <v>29.91</v>
      </c>
      <c r="F57" s="85">
        <v>14.69</v>
      </c>
      <c r="G57" s="286"/>
    </row>
    <row r="58" spans="3:8" ht="26.4" x14ac:dyDescent="0.25">
      <c r="C58" s="83" t="s">
        <v>464</v>
      </c>
      <c r="D58" s="85">
        <v>29.6</v>
      </c>
      <c r="F58" s="85">
        <v>14.54</v>
      </c>
      <c r="G58" s="286"/>
    </row>
    <row r="59" spans="3:8" ht="26.4" x14ac:dyDescent="0.25">
      <c r="C59" s="83" t="s">
        <v>465</v>
      </c>
      <c r="D59" s="85">
        <v>29.2</v>
      </c>
      <c r="F59" s="85">
        <v>14.34</v>
      </c>
      <c r="G59" s="286"/>
    </row>
    <row r="60" spans="3:8" x14ac:dyDescent="0.25">
      <c r="C60" s="83" t="s">
        <v>466</v>
      </c>
      <c r="D60" s="85">
        <v>29.77</v>
      </c>
      <c r="F60" s="85">
        <v>14.62</v>
      </c>
      <c r="G60" s="286"/>
    </row>
    <row r="61" spans="3:8" x14ac:dyDescent="0.25">
      <c r="C61" s="83" t="s">
        <v>467</v>
      </c>
      <c r="D61" s="85">
        <v>29.81</v>
      </c>
      <c r="F61" s="85">
        <v>14.64</v>
      </c>
      <c r="G61" s="286"/>
    </row>
    <row r="62" spans="3:8" x14ac:dyDescent="0.25">
      <c r="C62" s="83" t="s">
        <v>468</v>
      </c>
      <c r="D62" s="85">
        <v>29.64</v>
      </c>
      <c r="F62" s="85">
        <v>14.56</v>
      </c>
      <c r="G62" s="286"/>
    </row>
    <row r="63" spans="3:8" ht="26.4" x14ac:dyDescent="0.25">
      <c r="C63" s="83" t="s">
        <v>469</v>
      </c>
      <c r="D63" s="85">
        <v>29.77</v>
      </c>
      <c r="F63" s="85">
        <v>14.62</v>
      </c>
      <c r="G63" s="286"/>
    </row>
    <row r="64" spans="3:8" x14ac:dyDescent="0.25">
      <c r="C64" s="83" t="s">
        <v>470</v>
      </c>
      <c r="D64" s="85">
        <v>29.81</v>
      </c>
      <c r="F64" s="85">
        <v>14.64</v>
      </c>
      <c r="G64" s="286"/>
    </row>
    <row r="65" spans="3:7" x14ac:dyDescent="0.25">
      <c r="C65" s="83" t="s">
        <v>471</v>
      </c>
      <c r="D65" s="85">
        <v>28.08</v>
      </c>
      <c r="F65" s="85">
        <v>13.79</v>
      </c>
      <c r="G65" s="286"/>
    </row>
    <row r="66" spans="3:7" x14ac:dyDescent="0.25">
      <c r="C66" s="83" t="s">
        <v>472</v>
      </c>
      <c r="D66" s="85">
        <v>27.69</v>
      </c>
      <c r="F66" s="85">
        <v>13.6</v>
      </c>
      <c r="G66" s="286"/>
    </row>
    <row r="67" spans="3:7" x14ac:dyDescent="0.25">
      <c r="C67" s="83" t="s">
        <v>473</v>
      </c>
      <c r="D67" s="85">
        <v>21.66</v>
      </c>
      <c r="F67" s="85">
        <v>10.64</v>
      </c>
      <c r="G67" s="286"/>
    </row>
    <row r="68" spans="3:7" ht="26.4" x14ac:dyDescent="0.25">
      <c r="C68" s="83" t="s">
        <v>474</v>
      </c>
      <c r="D68" s="85">
        <v>29.83</v>
      </c>
      <c r="F68" s="85">
        <v>14.65</v>
      </c>
      <c r="G68" s="286"/>
    </row>
    <row r="69" spans="3:7" x14ac:dyDescent="0.25">
      <c r="C69" s="83" t="s">
        <v>475</v>
      </c>
      <c r="D69" s="85">
        <v>29.89</v>
      </c>
      <c r="F69" s="85">
        <v>14.68</v>
      </c>
      <c r="G69" s="286"/>
    </row>
    <row r="70" spans="3:7" ht="26.4" x14ac:dyDescent="0.25">
      <c r="C70" s="83" t="s">
        <v>476</v>
      </c>
      <c r="D70" s="85">
        <v>24.78</v>
      </c>
      <c r="F70" s="85">
        <v>12.17</v>
      </c>
      <c r="G70" s="286"/>
    </row>
    <row r="71" spans="3:7" x14ac:dyDescent="0.25">
      <c r="C71" s="83" t="s">
        <v>477</v>
      </c>
      <c r="D71" s="85">
        <v>29.38</v>
      </c>
      <c r="F71" s="85">
        <v>14.43</v>
      </c>
      <c r="G71" s="286"/>
    </row>
    <row r="72" spans="3:7" ht="26.4" x14ac:dyDescent="0.25">
      <c r="C72" s="83" t="s">
        <v>478</v>
      </c>
      <c r="D72" s="85">
        <v>22.78</v>
      </c>
      <c r="F72" s="85">
        <v>11.19</v>
      </c>
      <c r="G72" s="286"/>
    </row>
    <row r="73" spans="3:7" x14ac:dyDescent="0.25">
      <c r="C73" s="83" t="s">
        <v>479</v>
      </c>
      <c r="D73" s="85">
        <v>28.1</v>
      </c>
      <c r="F73" s="85">
        <v>13.8</v>
      </c>
      <c r="G73" s="286"/>
    </row>
    <row r="74" spans="3:7" x14ac:dyDescent="0.25">
      <c r="C74" s="83" t="s">
        <v>480</v>
      </c>
      <c r="D74" s="85">
        <v>28.12</v>
      </c>
      <c r="F74" s="85">
        <v>13.81</v>
      </c>
      <c r="G74" s="286"/>
    </row>
    <row r="75" spans="3:7" x14ac:dyDescent="0.25">
      <c r="C75" s="83" t="s">
        <v>481</v>
      </c>
      <c r="D75" s="85">
        <v>27.22</v>
      </c>
      <c r="F75" s="85">
        <v>13.37</v>
      </c>
      <c r="G75" s="286"/>
    </row>
    <row r="76" spans="3:7" x14ac:dyDescent="0.25">
      <c r="C76" s="82"/>
    </row>
    <row r="77" spans="3:7" x14ac:dyDescent="0.25">
      <c r="C77" s="82" t="s">
        <v>74</v>
      </c>
    </row>
    <row r="78" spans="3:7" x14ac:dyDescent="0.25">
      <c r="C78" s="82" t="s">
        <v>482</v>
      </c>
    </row>
  </sheetData>
  <sheetProtection algorithmName="SHA-512" hashValue="dCMNq62hhqainISloWrjtFwvGCg6hbcfRj5ItZORdmm0k/kvCR3+DUSBRRxfXkuqkr93D0epas6x5pthbWhA9g==" saltValue="6e+pHfiUb/uiDEWtxbgGKg==" spinCount="100000" sheet="1" objects="1" scenarios="1" autoFilter="0" pivotTables="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topLeftCell="A89" zoomScaleNormal="100" zoomScaleSheetLayoutView="100" workbookViewId="0">
      <selection activeCell="D19" sqref="D19"/>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16384" width="9.109375" style="1"/>
  </cols>
  <sheetData>
    <row r="1" spans="1:27" ht="16.2" thickBot="1" x14ac:dyDescent="0.3">
      <c r="A1" s="513" t="s">
        <v>2</v>
      </c>
      <c r="B1" s="513"/>
      <c r="C1" s="513"/>
      <c r="D1" s="513"/>
      <c r="E1" s="513"/>
      <c r="F1" s="513"/>
      <c r="G1" s="513"/>
      <c r="H1" s="514" t="s">
        <v>256</v>
      </c>
      <c r="I1" s="514"/>
    </row>
    <row r="2" spans="1:27" s="2" customFormat="1" ht="61.2" x14ac:dyDescent="0.25">
      <c r="A2" s="4" t="s">
        <v>0</v>
      </c>
      <c r="B2" s="4" t="s">
        <v>3</v>
      </c>
      <c r="C2" s="3" t="s">
        <v>4</v>
      </c>
      <c r="D2" s="5"/>
      <c r="E2" s="6"/>
      <c r="F2" s="7" t="s">
        <v>5</v>
      </c>
      <c r="G2" s="8"/>
      <c r="L2" s="115" t="s">
        <v>0</v>
      </c>
      <c r="M2" s="116" t="s">
        <v>163</v>
      </c>
      <c r="N2" s="116" t="s">
        <v>164</v>
      </c>
      <c r="O2" s="116" t="s">
        <v>165</v>
      </c>
      <c r="P2" s="116" t="s">
        <v>166</v>
      </c>
      <c r="Q2" s="116" t="s">
        <v>167</v>
      </c>
      <c r="R2" s="116" t="s">
        <v>168</v>
      </c>
      <c r="S2" s="116" t="s">
        <v>169</v>
      </c>
      <c r="T2" s="116" t="s">
        <v>170</v>
      </c>
      <c r="U2" s="116" t="s">
        <v>171</v>
      </c>
      <c r="V2" s="116" t="s">
        <v>172</v>
      </c>
      <c r="W2" s="116" t="s">
        <v>173</v>
      </c>
      <c r="X2" s="116" t="s">
        <v>174</v>
      </c>
      <c r="Y2" s="116" t="s">
        <v>175</v>
      </c>
      <c r="Z2" s="116" t="s">
        <v>176</v>
      </c>
      <c r="AA2" s="117" t="s">
        <v>177</v>
      </c>
    </row>
    <row r="3" spans="1:27" ht="13.8" thickBot="1" x14ac:dyDescent="0.3">
      <c r="A3" s="11" t="s">
        <v>155</v>
      </c>
      <c r="B3" s="11" t="s">
        <v>1</v>
      </c>
      <c r="C3" s="12" t="s">
        <v>6</v>
      </c>
      <c r="D3" s="13" t="s">
        <v>7</v>
      </c>
      <c r="E3" s="13" t="s">
        <v>8</v>
      </c>
      <c r="F3" s="14" t="s">
        <v>9</v>
      </c>
      <c r="G3" s="15" t="s">
        <v>10</v>
      </c>
      <c r="H3" s="151" t="s">
        <v>155</v>
      </c>
      <c r="I3" s="151" t="s">
        <v>257</v>
      </c>
      <c r="L3" s="118" t="s">
        <v>178</v>
      </c>
      <c r="M3" s="108" t="s">
        <v>156</v>
      </c>
      <c r="N3" s="108" t="s">
        <v>179</v>
      </c>
      <c r="O3" s="108" t="s">
        <v>179</v>
      </c>
      <c r="P3" s="108" t="s">
        <v>179</v>
      </c>
      <c r="Q3" s="108" t="s">
        <v>180</v>
      </c>
      <c r="R3" s="108" t="s">
        <v>181</v>
      </c>
      <c r="S3" s="108" t="s">
        <v>182</v>
      </c>
      <c r="T3" s="108" t="s">
        <v>182</v>
      </c>
      <c r="U3" s="108" t="s">
        <v>182</v>
      </c>
      <c r="V3" s="108" t="s">
        <v>182</v>
      </c>
      <c r="W3" s="108" t="s">
        <v>182</v>
      </c>
      <c r="X3" s="108" t="s">
        <v>183</v>
      </c>
      <c r="Y3" s="108" t="s">
        <v>184</v>
      </c>
      <c r="Z3" s="108"/>
      <c r="AA3" s="107"/>
    </row>
    <row r="4" spans="1:27" x14ac:dyDescent="0.25">
      <c r="A4" s="30">
        <v>0</v>
      </c>
      <c r="B4" s="26">
        <v>212</v>
      </c>
      <c r="C4" s="27">
        <v>180.2</v>
      </c>
      <c r="D4" s="28">
        <v>970.3</v>
      </c>
      <c r="E4" s="28">
        <v>1150.5</v>
      </c>
      <c r="F4" s="22">
        <v>1.6719999999999999E-2</v>
      </c>
      <c r="G4" s="31">
        <v>26.8</v>
      </c>
      <c r="H4" s="150">
        <v>0</v>
      </c>
      <c r="I4" s="150">
        <v>9.391</v>
      </c>
      <c r="L4" s="119">
        <v>0</v>
      </c>
      <c r="M4" s="110">
        <v>211.95400000000001</v>
      </c>
      <c r="N4" s="110">
        <v>179.94200000000001</v>
      </c>
      <c r="O4" s="110">
        <v>970.10799999999995</v>
      </c>
      <c r="P4" s="110">
        <v>1150.05</v>
      </c>
      <c r="Q4" s="110">
        <v>3.7310500000000003E-2</v>
      </c>
      <c r="R4" s="110">
        <v>26.802099999999999</v>
      </c>
      <c r="S4" s="110">
        <v>0.31218400000000002</v>
      </c>
      <c r="T4" s="110">
        <v>1.44442</v>
      </c>
      <c r="U4" s="110">
        <v>1.75661</v>
      </c>
      <c r="V4" s="110">
        <v>0.37158799999999997</v>
      </c>
      <c r="W4" s="110">
        <v>0.496784</v>
      </c>
      <c r="X4" s="110">
        <v>1549.15</v>
      </c>
      <c r="Y4" s="111">
        <v>8.2439499999999992E-6</v>
      </c>
      <c r="Z4" s="110">
        <v>1.31508</v>
      </c>
      <c r="AA4" s="109">
        <v>0.98451500000000003</v>
      </c>
    </row>
    <row r="5" spans="1:27" x14ac:dyDescent="0.25">
      <c r="A5" s="30">
        <v>1</v>
      </c>
      <c r="B5" s="26">
        <v>215.3</v>
      </c>
      <c r="C5" s="27">
        <v>183.5</v>
      </c>
      <c r="D5" s="28">
        <v>968.2</v>
      </c>
      <c r="E5" s="28">
        <v>1151.8</v>
      </c>
      <c r="F5" s="22">
        <v>1.6740000000000001E-2</v>
      </c>
      <c r="G5" s="31">
        <v>25.21</v>
      </c>
      <c r="H5" s="1">
        <v>10</v>
      </c>
      <c r="I5" s="150">
        <v>8.8030000000000008</v>
      </c>
      <c r="L5" s="120">
        <v>1</v>
      </c>
      <c r="M5" s="113">
        <v>215.292</v>
      </c>
      <c r="N5" s="113">
        <v>183.30699999999999</v>
      </c>
      <c r="O5" s="113">
        <v>967.99800000000005</v>
      </c>
      <c r="P5" s="113">
        <v>1151.3</v>
      </c>
      <c r="Q5" s="113">
        <v>3.9679899999999997E-2</v>
      </c>
      <c r="R5" s="113">
        <v>25.201699999999999</v>
      </c>
      <c r="S5" s="113">
        <v>0.31717699999999999</v>
      </c>
      <c r="T5" s="113">
        <v>1.43415</v>
      </c>
      <c r="U5" s="113">
        <v>1.7513300000000001</v>
      </c>
      <c r="V5" s="113">
        <v>0.37276900000000002</v>
      </c>
      <c r="W5" s="113">
        <v>0.49860900000000002</v>
      </c>
      <c r="X5" s="113">
        <v>1552.24</v>
      </c>
      <c r="Y5" s="114">
        <v>8.2865499999999995E-6</v>
      </c>
      <c r="Z5" s="113">
        <v>1.31471</v>
      </c>
      <c r="AA5" s="112">
        <v>0.98382800000000004</v>
      </c>
    </row>
    <row r="6" spans="1:27" x14ac:dyDescent="0.25">
      <c r="A6" s="30">
        <v>2</v>
      </c>
      <c r="B6" s="26">
        <v>218.5</v>
      </c>
      <c r="C6" s="27">
        <v>186.7</v>
      </c>
      <c r="D6" s="28">
        <v>966.2</v>
      </c>
      <c r="E6" s="28">
        <v>1152.9000000000001</v>
      </c>
      <c r="F6" s="22">
        <v>1.6760000000000001E-2</v>
      </c>
      <c r="G6" s="31">
        <v>23.79</v>
      </c>
      <c r="H6" s="1">
        <v>20</v>
      </c>
      <c r="I6" s="150">
        <v>8.2949999999999999</v>
      </c>
      <c r="L6" s="119">
        <v>2</v>
      </c>
      <c r="M6" s="110">
        <v>218.46</v>
      </c>
      <c r="N6" s="110">
        <v>186.501</v>
      </c>
      <c r="O6" s="110">
        <v>965.98599999999999</v>
      </c>
      <c r="P6" s="110">
        <v>1152.49</v>
      </c>
      <c r="Q6" s="110">
        <v>4.2039600000000003E-2</v>
      </c>
      <c r="R6" s="110">
        <v>23.787099999999999</v>
      </c>
      <c r="S6" s="110">
        <v>0.32189299999999998</v>
      </c>
      <c r="T6" s="110">
        <v>1.42449</v>
      </c>
      <c r="U6" s="110">
        <v>1.74638</v>
      </c>
      <c r="V6" s="110">
        <v>0.37392399999999998</v>
      </c>
      <c r="W6" s="110">
        <v>0.50039699999999998</v>
      </c>
      <c r="X6" s="110">
        <v>1555.14</v>
      </c>
      <c r="Y6" s="111">
        <v>8.3270100000000008E-6</v>
      </c>
      <c r="Z6" s="110">
        <v>1.3143499999999999</v>
      </c>
      <c r="AA6" s="109">
        <v>0.983155</v>
      </c>
    </row>
    <row r="7" spans="1:27" x14ac:dyDescent="0.25">
      <c r="A7" s="30">
        <v>3</v>
      </c>
      <c r="B7" s="26">
        <v>221.5</v>
      </c>
      <c r="C7" s="27">
        <v>189.8</v>
      </c>
      <c r="D7" s="28">
        <v>964.3</v>
      </c>
      <c r="E7" s="28">
        <v>1154</v>
      </c>
      <c r="F7" s="22">
        <v>1.6789999999999999E-2</v>
      </c>
      <c r="G7" s="31">
        <v>22.53</v>
      </c>
      <c r="H7" s="1">
        <v>30</v>
      </c>
      <c r="I7" s="150">
        <v>7.8460000000000001</v>
      </c>
      <c r="L7" s="120">
        <v>3</v>
      </c>
      <c r="M7" s="113">
        <v>221.47399999999999</v>
      </c>
      <c r="N7" s="113">
        <v>189.542</v>
      </c>
      <c r="O7" s="113">
        <v>964.06299999999999</v>
      </c>
      <c r="P7" s="113">
        <v>1153.6099999999999</v>
      </c>
      <c r="Q7" s="113">
        <v>4.4390100000000002E-2</v>
      </c>
      <c r="R7" s="113">
        <v>22.5275</v>
      </c>
      <c r="S7" s="113">
        <v>0.32636300000000001</v>
      </c>
      <c r="T7" s="113">
        <v>1.41536</v>
      </c>
      <c r="U7" s="113">
        <v>1.7417199999999999</v>
      </c>
      <c r="V7" s="113">
        <v>0.37505300000000003</v>
      </c>
      <c r="W7" s="113">
        <v>0.50214999999999999</v>
      </c>
      <c r="X7" s="113">
        <v>1557.86</v>
      </c>
      <c r="Y7" s="114">
        <v>8.3655600000000006E-6</v>
      </c>
      <c r="Z7" s="113">
        <v>1.3140099999999999</v>
      </c>
      <c r="AA7" s="112">
        <v>0.98249500000000001</v>
      </c>
    </row>
    <row r="8" spans="1:27" x14ac:dyDescent="0.25">
      <c r="A8" s="30">
        <v>4</v>
      </c>
      <c r="B8" s="26">
        <v>224.4</v>
      </c>
      <c r="C8" s="27">
        <v>192.7</v>
      </c>
      <c r="D8" s="28">
        <v>962.4</v>
      </c>
      <c r="E8" s="28">
        <v>1155</v>
      </c>
      <c r="F8" s="22">
        <v>1.6809999999999999E-2</v>
      </c>
      <c r="G8" s="31">
        <v>21.4</v>
      </c>
      <c r="H8" s="1">
        <v>40</v>
      </c>
      <c r="I8" s="150">
        <v>7.4470000000000001</v>
      </c>
      <c r="L8" s="119">
        <v>4</v>
      </c>
      <c r="M8" s="110">
        <v>224.351</v>
      </c>
      <c r="N8" s="110">
        <v>192.446</v>
      </c>
      <c r="O8" s="110">
        <v>962.21900000000005</v>
      </c>
      <c r="P8" s="110">
        <v>1154.67</v>
      </c>
      <c r="Q8" s="110">
        <v>4.6732200000000002E-2</v>
      </c>
      <c r="R8" s="110">
        <v>21.398499999999999</v>
      </c>
      <c r="S8" s="110">
        <v>0.33061200000000002</v>
      </c>
      <c r="T8" s="110">
        <v>1.4067099999999999</v>
      </c>
      <c r="U8" s="110">
        <v>1.73732</v>
      </c>
      <c r="V8" s="110">
        <v>0.37615900000000002</v>
      </c>
      <c r="W8" s="110">
        <v>0.50387199999999999</v>
      </c>
      <c r="X8" s="110">
        <v>1560.43</v>
      </c>
      <c r="Y8" s="111">
        <v>8.4023900000000004E-6</v>
      </c>
      <c r="Z8" s="110">
        <v>1.3136699999999999</v>
      </c>
      <c r="AA8" s="109">
        <v>0.98184800000000005</v>
      </c>
    </row>
    <row r="9" spans="1:27" x14ac:dyDescent="0.25">
      <c r="A9" s="30">
        <v>5</v>
      </c>
      <c r="B9" s="26">
        <v>227.1</v>
      </c>
      <c r="C9" s="27">
        <v>195.4</v>
      </c>
      <c r="D9" s="28">
        <v>960.6</v>
      </c>
      <c r="E9" s="28">
        <v>1156.0999999999999</v>
      </c>
      <c r="F9" s="22">
        <v>1.6830000000000001E-2</v>
      </c>
      <c r="G9" s="31">
        <v>20.38</v>
      </c>
      <c r="H9" s="1">
        <v>50</v>
      </c>
      <c r="I9" s="150">
        <v>7.0890000000000004</v>
      </c>
      <c r="L9" s="120">
        <v>5</v>
      </c>
      <c r="M9" s="113">
        <v>227.10300000000001</v>
      </c>
      <c r="N9" s="113">
        <v>195.226</v>
      </c>
      <c r="O9" s="113">
        <v>960.44799999999998</v>
      </c>
      <c r="P9" s="113">
        <v>1155.67</v>
      </c>
      <c r="Q9" s="113">
        <v>4.9066199999999997E-2</v>
      </c>
      <c r="R9" s="113">
        <v>20.380600000000001</v>
      </c>
      <c r="S9" s="113">
        <v>0.33466400000000002</v>
      </c>
      <c r="T9" s="113">
        <v>1.39849</v>
      </c>
      <c r="U9" s="113">
        <v>1.73316</v>
      </c>
      <c r="V9" s="113">
        <v>0.37724400000000002</v>
      </c>
      <c r="W9" s="113">
        <v>0.50556400000000001</v>
      </c>
      <c r="X9" s="113">
        <v>1562.87</v>
      </c>
      <c r="Y9" s="114">
        <v>8.4376599999999994E-6</v>
      </c>
      <c r="Z9" s="113">
        <v>1.31334</v>
      </c>
      <c r="AA9" s="112">
        <v>0.98121199999999997</v>
      </c>
    </row>
    <row r="10" spans="1:27" x14ac:dyDescent="0.25">
      <c r="A10" s="30">
        <v>6</v>
      </c>
      <c r="B10" s="26">
        <v>229.8</v>
      </c>
      <c r="C10" s="27">
        <v>198.1</v>
      </c>
      <c r="D10" s="28">
        <v>958.9</v>
      </c>
      <c r="E10" s="28">
        <v>1157</v>
      </c>
      <c r="F10" s="22">
        <v>1.685E-2</v>
      </c>
      <c r="G10" s="31">
        <v>19.46</v>
      </c>
      <c r="H10" s="1">
        <v>58</v>
      </c>
      <c r="I10" s="150">
        <v>6.8630000000000004</v>
      </c>
      <c r="L10" s="119">
        <v>6</v>
      </c>
      <c r="M10" s="110">
        <v>229.74299999999999</v>
      </c>
      <c r="N10" s="110">
        <v>197.893</v>
      </c>
      <c r="O10" s="110">
        <v>958.74199999999996</v>
      </c>
      <c r="P10" s="110">
        <v>1156.6400000000001</v>
      </c>
      <c r="Q10" s="110">
        <v>5.1392699999999999E-2</v>
      </c>
      <c r="R10" s="110">
        <v>19.457999999999998</v>
      </c>
      <c r="S10" s="110">
        <v>0.338536</v>
      </c>
      <c r="T10" s="110">
        <v>1.39066</v>
      </c>
      <c r="U10" s="110">
        <v>1.7292000000000001</v>
      </c>
      <c r="V10" s="110">
        <v>0.37830999999999998</v>
      </c>
      <c r="W10" s="110">
        <v>0.50723099999999999</v>
      </c>
      <c r="X10" s="110">
        <v>1565.18</v>
      </c>
      <c r="Y10" s="111">
        <v>8.4715000000000001E-6</v>
      </c>
      <c r="Z10" s="110">
        <v>1.3130200000000001</v>
      </c>
      <c r="AA10" s="109">
        <v>0.98058599999999996</v>
      </c>
    </row>
    <row r="11" spans="1:27" x14ac:dyDescent="0.25">
      <c r="A11" s="30">
        <v>7</v>
      </c>
      <c r="B11" s="26">
        <v>232.3</v>
      </c>
      <c r="C11" s="27">
        <v>200.7</v>
      </c>
      <c r="D11" s="28">
        <v>957.2</v>
      </c>
      <c r="E11" s="28">
        <v>1157.9000000000001</v>
      </c>
      <c r="F11" s="22">
        <v>1.687E-2</v>
      </c>
      <c r="G11" s="31">
        <v>18.62</v>
      </c>
      <c r="H11" s="1">
        <v>60</v>
      </c>
      <c r="I11" s="150">
        <v>6.8019999999999996</v>
      </c>
      <c r="L11" s="120">
        <v>7</v>
      </c>
      <c r="M11" s="113">
        <v>232.28</v>
      </c>
      <c r="N11" s="113">
        <v>200.458</v>
      </c>
      <c r="O11" s="113">
        <v>957.09500000000003</v>
      </c>
      <c r="P11" s="113">
        <v>1157.55</v>
      </c>
      <c r="Q11" s="113">
        <v>5.3712099999999999E-2</v>
      </c>
      <c r="R11" s="113">
        <v>18.617799999999999</v>
      </c>
      <c r="S11" s="113">
        <v>0.34224500000000002</v>
      </c>
      <c r="T11" s="113">
        <v>1.3831800000000001</v>
      </c>
      <c r="U11" s="113">
        <v>1.72543</v>
      </c>
      <c r="V11" s="113">
        <v>0.379357</v>
      </c>
      <c r="W11" s="113">
        <v>0.50887199999999999</v>
      </c>
      <c r="X11" s="113">
        <v>1567.38</v>
      </c>
      <c r="Y11" s="114">
        <v>8.5040500000000003E-6</v>
      </c>
      <c r="Z11" s="113">
        <v>1.31271</v>
      </c>
      <c r="AA11" s="112">
        <v>0.97997100000000004</v>
      </c>
    </row>
    <row r="12" spans="1:27" x14ac:dyDescent="0.25">
      <c r="A12" s="30">
        <v>8</v>
      </c>
      <c r="B12" s="26">
        <v>234.8</v>
      </c>
      <c r="C12" s="27">
        <v>203.1</v>
      </c>
      <c r="D12" s="28">
        <v>955.6</v>
      </c>
      <c r="E12" s="28">
        <v>1158.7</v>
      </c>
      <c r="F12" s="22">
        <v>1.6889999999999999E-2</v>
      </c>
      <c r="G12" s="31">
        <v>17.850000000000001</v>
      </c>
      <c r="H12" s="1">
        <v>70</v>
      </c>
      <c r="I12" s="150">
        <v>6.5529999999999999</v>
      </c>
      <c r="L12" s="119">
        <v>8</v>
      </c>
      <c r="M12" s="110">
        <v>234.72300000000001</v>
      </c>
      <c r="N12" s="110">
        <v>202.929</v>
      </c>
      <c r="O12" s="110">
        <v>955.50400000000002</v>
      </c>
      <c r="P12" s="110">
        <v>1158.43</v>
      </c>
      <c r="Q12" s="110">
        <v>5.6024699999999997E-2</v>
      </c>
      <c r="R12" s="110">
        <v>17.849299999999999</v>
      </c>
      <c r="S12" s="110">
        <v>0.34580499999999997</v>
      </c>
      <c r="T12" s="110">
        <v>1.3760300000000001</v>
      </c>
      <c r="U12" s="110">
        <v>1.72183</v>
      </c>
      <c r="V12" s="110">
        <v>0.38038699999999998</v>
      </c>
      <c r="W12" s="110">
        <v>0.51049</v>
      </c>
      <c r="X12" s="110">
        <v>1569.47</v>
      </c>
      <c r="Y12" s="111">
        <v>8.5354100000000003E-6</v>
      </c>
      <c r="Z12" s="110">
        <v>1.3124100000000001</v>
      </c>
      <c r="AA12" s="109">
        <v>0.97936500000000004</v>
      </c>
    </row>
    <row r="13" spans="1:27" ht="13.8" thickBot="1" x14ac:dyDescent="0.3">
      <c r="A13" s="32">
        <v>9</v>
      </c>
      <c r="B13" s="33">
        <v>237.1</v>
      </c>
      <c r="C13" s="34">
        <v>205.5</v>
      </c>
      <c r="D13" s="35">
        <v>954.1</v>
      </c>
      <c r="E13" s="35">
        <v>1159.5999999999999</v>
      </c>
      <c r="F13" s="36">
        <v>1.6899999999999998E-2</v>
      </c>
      <c r="G13" s="37">
        <v>17.14</v>
      </c>
      <c r="H13" s="1">
        <v>80</v>
      </c>
      <c r="I13" s="150">
        <v>6.3230000000000004</v>
      </c>
      <c r="L13" s="120">
        <v>9</v>
      </c>
      <c r="M13" s="113">
        <v>237.07900000000001</v>
      </c>
      <c r="N13" s="113">
        <v>205.31299999999999</v>
      </c>
      <c r="O13" s="113">
        <v>953.96299999999997</v>
      </c>
      <c r="P13" s="113">
        <v>1159.28</v>
      </c>
      <c r="Q13" s="113">
        <v>5.8331000000000001E-2</v>
      </c>
      <c r="R13" s="113">
        <v>17.1435</v>
      </c>
      <c r="S13" s="113">
        <v>0.34922799999999998</v>
      </c>
      <c r="T13" s="113">
        <v>1.3691599999999999</v>
      </c>
      <c r="U13" s="113">
        <v>1.7183900000000001</v>
      </c>
      <c r="V13" s="113">
        <v>0.38140099999999999</v>
      </c>
      <c r="W13" s="113">
        <v>0.51208600000000004</v>
      </c>
      <c r="X13" s="113">
        <v>1571.47</v>
      </c>
      <c r="Y13" s="114">
        <v>8.5656699999999996E-6</v>
      </c>
      <c r="Z13" s="113">
        <v>1.3121100000000001</v>
      </c>
      <c r="AA13" s="112">
        <v>0.97876799999999997</v>
      </c>
    </row>
    <row r="14" spans="1:27" x14ac:dyDescent="0.25">
      <c r="A14" s="30">
        <v>10</v>
      </c>
      <c r="B14" s="26">
        <v>239.4</v>
      </c>
      <c r="C14" s="27">
        <v>207.8</v>
      </c>
      <c r="D14" s="28">
        <v>952.6</v>
      </c>
      <c r="E14" s="28">
        <v>1160.4000000000001</v>
      </c>
      <c r="F14" s="22">
        <v>1.6920000000000001E-2</v>
      </c>
      <c r="G14" s="31">
        <v>16.489999999999998</v>
      </c>
      <c r="H14" s="1">
        <v>90</v>
      </c>
      <c r="I14" s="150">
        <v>6.11</v>
      </c>
      <c r="L14" s="119">
        <v>10</v>
      </c>
      <c r="M14" s="110">
        <v>239.35499999999999</v>
      </c>
      <c r="N14" s="110">
        <v>207.61699999999999</v>
      </c>
      <c r="O14" s="110">
        <v>952.46799999999996</v>
      </c>
      <c r="P14" s="110">
        <v>1160.0899999999999</v>
      </c>
      <c r="Q14" s="110">
        <v>6.0631200000000003E-2</v>
      </c>
      <c r="R14" s="110">
        <v>16.493099999999998</v>
      </c>
      <c r="S14" s="110">
        <v>0.35252499999999998</v>
      </c>
      <c r="T14" s="110">
        <v>1.3625700000000001</v>
      </c>
      <c r="U14" s="110">
        <v>1.71509</v>
      </c>
      <c r="V14" s="110">
        <v>0.38240000000000002</v>
      </c>
      <c r="W14" s="110">
        <v>0.51366100000000003</v>
      </c>
      <c r="X14" s="110">
        <v>1573.39</v>
      </c>
      <c r="Y14" s="111">
        <v>8.5949199999999994E-6</v>
      </c>
      <c r="Z14" s="110">
        <v>1.31182</v>
      </c>
      <c r="AA14" s="109">
        <v>0.97818000000000005</v>
      </c>
    </row>
    <row r="15" spans="1:27" x14ac:dyDescent="0.25">
      <c r="A15" s="30">
        <v>12</v>
      </c>
      <c r="B15" s="26">
        <v>243.7</v>
      </c>
      <c r="C15" s="27">
        <v>212.2</v>
      </c>
      <c r="D15" s="28">
        <v>949.6</v>
      </c>
      <c r="E15" s="28">
        <v>1161.9000000000001</v>
      </c>
      <c r="F15" s="22">
        <v>1.6959999999999999E-2</v>
      </c>
      <c r="G15" s="31">
        <v>15.33</v>
      </c>
      <c r="H15" s="1">
        <v>100</v>
      </c>
      <c r="I15" s="150">
        <v>5.9109999999999996</v>
      </c>
      <c r="L15" s="120">
        <v>11</v>
      </c>
      <c r="M15" s="113">
        <v>241.55600000000001</v>
      </c>
      <c r="N15" s="113">
        <v>209.84700000000001</v>
      </c>
      <c r="O15" s="113">
        <v>951.01700000000005</v>
      </c>
      <c r="P15" s="113">
        <v>1160.8599999999999</v>
      </c>
      <c r="Q15" s="113">
        <v>6.2925599999999998E-2</v>
      </c>
      <c r="R15" s="113">
        <v>15.8918</v>
      </c>
      <c r="S15" s="113">
        <v>0.35570499999999999</v>
      </c>
      <c r="T15" s="113">
        <v>1.35622</v>
      </c>
      <c r="U15" s="113">
        <v>1.71193</v>
      </c>
      <c r="V15" s="113">
        <v>0.38338499999999998</v>
      </c>
      <c r="W15" s="113">
        <v>0.51521700000000004</v>
      </c>
      <c r="X15" s="113">
        <v>1575.22</v>
      </c>
      <c r="Y15" s="114">
        <v>8.6232200000000004E-6</v>
      </c>
      <c r="Z15" s="113">
        <v>1.3115300000000001</v>
      </c>
      <c r="AA15" s="112">
        <v>0.977599</v>
      </c>
    </row>
    <row r="16" spans="1:27" x14ac:dyDescent="0.25">
      <c r="A16" s="30">
        <v>14</v>
      </c>
      <c r="B16" s="26">
        <v>247.8</v>
      </c>
      <c r="C16" s="27">
        <v>216.4</v>
      </c>
      <c r="D16" s="28">
        <v>946.9</v>
      </c>
      <c r="E16" s="28">
        <v>1163.3</v>
      </c>
      <c r="F16" s="22">
        <v>1.6990000000000002E-2</v>
      </c>
      <c r="G16" s="31">
        <v>14.33</v>
      </c>
      <c r="H16" s="1">
        <v>150</v>
      </c>
      <c r="I16" s="150">
        <v>5.085</v>
      </c>
      <c r="L16" s="119">
        <v>12</v>
      </c>
      <c r="M16" s="110">
        <v>243.68799999999999</v>
      </c>
      <c r="N16" s="110">
        <v>212.00800000000001</v>
      </c>
      <c r="O16" s="110">
        <v>949.60699999999997</v>
      </c>
      <c r="P16" s="110">
        <v>1161.6099999999999</v>
      </c>
      <c r="Q16" s="110">
        <v>6.5214499999999995E-2</v>
      </c>
      <c r="R16" s="110">
        <v>15.334</v>
      </c>
      <c r="S16" s="110">
        <v>0.35877799999999999</v>
      </c>
      <c r="T16" s="110">
        <v>1.3501000000000001</v>
      </c>
      <c r="U16" s="110">
        <v>1.70888</v>
      </c>
      <c r="V16" s="110">
        <v>0.38435599999999998</v>
      </c>
      <c r="W16" s="110">
        <v>0.51675499999999996</v>
      </c>
      <c r="X16" s="110">
        <v>1576.98</v>
      </c>
      <c r="Y16" s="111">
        <v>8.6506399999999992E-6</v>
      </c>
      <c r="Z16" s="110">
        <v>1.31125</v>
      </c>
      <c r="AA16" s="109">
        <v>0.97702599999999995</v>
      </c>
    </row>
    <row r="17" spans="1:27" x14ac:dyDescent="0.25">
      <c r="A17" s="30">
        <v>16</v>
      </c>
      <c r="B17" s="26">
        <v>251.7</v>
      </c>
      <c r="C17" s="27">
        <v>220.2</v>
      </c>
      <c r="D17" s="28">
        <v>944.3</v>
      </c>
      <c r="E17" s="28">
        <v>1164.5</v>
      </c>
      <c r="F17" s="22">
        <v>1.702E-2</v>
      </c>
      <c r="G17" s="31">
        <v>13.45</v>
      </c>
      <c r="H17" s="1">
        <v>200</v>
      </c>
      <c r="I17" s="150">
        <v>4.4320000000000004</v>
      </c>
      <c r="L17" s="120">
        <v>13</v>
      </c>
      <c r="M17" s="113">
        <v>245.756</v>
      </c>
      <c r="N17" s="113">
        <v>214.10400000000001</v>
      </c>
      <c r="O17" s="113">
        <v>948.23400000000004</v>
      </c>
      <c r="P17" s="113">
        <v>1162.3399999999999</v>
      </c>
      <c r="Q17" s="113">
        <v>6.7498199999999994E-2</v>
      </c>
      <c r="R17" s="113">
        <v>14.815200000000001</v>
      </c>
      <c r="S17" s="113">
        <v>0.36175000000000002</v>
      </c>
      <c r="T17" s="113">
        <v>1.3442000000000001</v>
      </c>
      <c r="U17" s="113">
        <v>1.7059500000000001</v>
      </c>
      <c r="V17" s="113">
        <v>0.38531500000000002</v>
      </c>
      <c r="W17" s="113">
        <v>0.51827599999999996</v>
      </c>
      <c r="X17" s="113">
        <v>1578.67</v>
      </c>
      <c r="Y17" s="114">
        <v>8.67724E-6</v>
      </c>
      <c r="Z17" s="113">
        <v>1.31098</v>
      </c>
      <c r="AA17" s="112">
        <v>0.97645999999999999</v>
      </c>
    </row>
    <row r="18" spans="1:27" ht="13.8" thickBot="1" x14ac:dyDescent="0.3">
      <c r="A18" s="32">
        <v>18</v>
      </c>
      <c r="B18" s="33">
        <v>255.3</v>
      </c>
      <c r="C18" s="34">
        <v>224</v>
      </c>
      <c r="D18" s="35">
        <v>941.9</v>
      </c>
      <c r="E18" s="35">
        <v>1165.8</v>
      </c>
      <c r="F18" s="36">
        <v>1.7049999999999999E-2</v>
      </c>
      <c r="G18" s="37">
        <v>12.68</v>
      </c>
      <c r="H18" s="1">
        <v>250</v>
      </c>
      <c r="I18" s="150">
        <v>3.9079999999999999</v>
      </c>
      <c r="L18" s="119">
        <v>14</v>
      </c>
      <c r="M18" s="110">
        <v>247.76400000000001</v>
      </c>
      <c r="N18" s="110">
        <v>216.14099999999999</v>
      </c>
      <c r="O18" s="110">
        <v>946.89599999999996</v>
      </c>
      <c r="P18" s="110">
        <v>1163.04</v>
      </c>
      <c r="Q18" s="110">
        <v>6.97768E-2</v>
      </c>
      <c r="R18" s="110">
        <v>14.3314</v>
      </c>
      <c r="S18" s="110">
        <v>0.36462800000000001</v>
      </c>
      <c r="T18" s="110">
        <v>1.33849</v>
      </c>
      <c r="U18" s="110">
        <v>1.70312</v>
      </c>
      <c r="V18" s="110">
        <v>0.38626100000000002</v>
      </c>
      <c r="W18" s="110">
        <v>0.51978000000000002</v>
      </c>
      <c r="X18" s="110">
        <v>1580.3</v>
      </c>
      <c r="Y18" s="111">
        <v>8.70308E-6</v>
      </c>
      <c r="Z18" s="110">
        <v>1.31071</v>
      </c>
      <c r="AA18" s="109">
        <v>0.97590100000000002</v>
      </c>
    </row>
    <row r="19" spans="1:27" x14ac:dyDescent="0.25">
      <c r="A19" s="30">
        <v>20</v>
      </c>
      <c r="B19" s="26">
        <v>258.8</v>
      </c>
      <c r="C19" s="27">
        <v>227.5</v>
      </c>
      <c r="D19" s="28">
        <v>939.5</v>
      </c>
      <c r="E19" s="28">
        <v>1167</v>
      </c>
      <c r="F19" s="22">
        <v>1.7080000000000001E-2</v>
      </c>
      <c r="G19" s="31">
        <v>11.99</v>
      </c>
      <c r="H19" s="1">
        <v>300</v>
      </c>
      <c r="I19" s="150">
        <v>3.4910000000000001</v>
      </c>
      <c r="L19" s="120">
        <v>15</v>
      </c>
      <c r="M19" s="113">
        <v>249.71600000000001</v>
      </c>
      <c r="N19" s="113">
        <v>218.12100000000001</v>
      </c>
      <c r="O19" s="113">
        <v>945.59100000000001</v>
      </c>
      <c r="P19" s="113">
        <v>1163.71</v>
      </c>
      <c r="Q19" s="113">
        <v>7.2050500000000003E-2</v>
      </c>
      <c r="R19" s="113">
        <v>13.879099999999999</v>
      </c>
      <c r="S19" s="113">
        <v>0.367419</v>
      </c>
      <c r="T19" s="113">
        <v>1.33297</v>
      </c>
      <c r="U19" s="113">
        <v>1.7003900000000001</v>
      </c>
      <c r="V19" s="113">
        <v>0.38719500000000001</v>
      </c>
      <c r="W19" s="113">
        <v>0.52126799999999995</v>
      </c>
      <c r="X19" s="113">
        <v>1581.86</v>
      </c>
      <c r="Y19" s="114">
        <v>8.7282000000000006E-6</v>
      </c>
      <c r="Z19" s="113">
        <v>1.3104499999999999</v>
      </c>
      <c r="AA19" s="112">
        <v>0.97534799999999999</v>
      </c>
    </row>
    <row r="20" spans="1:27" x14ac:dyDescent="0.25">
      <c r="A20" s="30">
        <v>22</v>
      </c>
      <c r="B20" s="26">
        <v>262.10000000000002</v>
      </c>
      <c r="C20" s="27">
        <v>230.9</v>
      </c>
      <c r="D20" s="28">
        <v>937.2</v>
      </c>
      <c r="E20" s="28">
        <v>1168.0999999999999</v>
      </c>
      <c r="F20" s="22">
        <v>1.711E-2</v>
      </c>
      <c r="G20" s="31">
        <v>11.38</v>
      </c>
      <c r="H20" s="1">
        <v>400</v>
      </c>
      <c r="I20" s="150">
        <v>2.86</v>
      </c>
      <c r="L20" s="119">
        <v>16</v>
      </c>
      <c r="M20" s="110">
        <v>251.614</v>
      </c>
      <c r="N20" s="110">
        <v>220.04900000000001</v>
      </c>
      <c r="O20" s="110">
        <v>944.31799999999998</v>
      </c>
      <c r="P20" s="110">
        <v>1164.3699999999999</v>
      </c>
      <c r="Q20" s="110">
        <v>7.4319700000000002E-2</v>
      </c>
      <c r="R20" s="110">
        <v>13.455399999999999</v>
      </c>
      <c r="S20" s="110">
        <v>0.37012800000000001</v>
      </c>
      <c r="T20" s="110">
        <v>1.32762</v>
      </c>
      <c r="U20" s="110">
        <v>1.6977500000000001</v>
      </c>
      <c r="V20" s="110">
        <v>0.38811899999999999</v>
      </c>
      <c r="W20" s="110">
        <v>0.52274100000000001</v>
      </c>
      <c r="X20" s="110">
        <v>1583.37</v>
      </c>
      <c r="Y20" s="111">
        <v>8.75265E-6</v>
      </c>
      <c r="Z20" s="110">
        <v>1.31019</v>
      </c>
      <c r="AA20" s="109">
        <v>0.97480100000000003</v>
      </c>
    </row>
    <row r="21" spans="1:27" x14ac:dyDescent="0.25">
      <c r="A21" s="30">
        <v>24</v>
      </c>
      <c r="B21" s="26">
        <v>265.3</v>
      </c>
      <c r="C21" s="27">
        <v>234.1</v>
      </c>
      <c r="D21" s="28">
        <v>935</v>
      </c>
      <c r="E21" s="28">
        <v>1169.2</v>
      </c>
      <c r="F21" s="22">
        <v>1.7129999999999999E-2</v>
      </c>
      <c r="G21" s="31">
        <v>10.83</v>
      </c>
      <c r="H21" s="1">
        <v>500</v>
      </c>
      <c r="I21" s="150">
        <v>2.4049999999999998</v>
      </c>
      <c r="L21" s="120">
        <v>17</v>
      </c>
      <c r="M21" s="113">
        <v>253.46299999999999</v>
      </c>
      <c r="N21" s="113">
        <v>221.92599999999999</v>
      </c>
      <c r="O21" s="113">
        <v>943.07299999999998</v>
      </c>
      <c r="P21" s="113">
        <v>1165</v>
      </c>
      <c r="Q21" s="113">
        <v>7.6584299999999994E-2</v>
      </c>
      <c r="R21" s="113">
        <v>13.057499999999999</v>
      </c>
      <c r="S21" s="113">
        <v>0.37275999999999998</v>
      </c>
      <c r="T21" s="113">
        <v>1.3224400000000001</v>
      </c>
      <c r="U21" s="113">
        <v>1.6952</v>
      </c>
      <c r="V21" s="113">
        <v>0.38903199999999999</v>
      </c>
      <c r="W21" s="113">
        <v>0.5242</v>
      </c>
      <c r="X21" s="113">
        <v>1584.83</v>
      </c>
      <c r="Y21" s="114">
        <v>8.7764600000000003E-6</v>
      </c>
      <c r="Z21" s="113">
        <v>1.30993</v>
      </c>
      <c r="AA21" s="112">
        <v>0.97426100000000004</v>
      </c>
    </row>
    <row r="22" spans="1:27" x14ac:dyDescent="0.25">
      <c r="A22" s="30">
        <v>25</v>
      </c>
      <c r="B22" s="26">
        <v>266.8</v>
      </c>
      <c r="C22" s="27">
        <v>235.7</v>
      </c>
      <c r="D22" s="28">
        <v>933.9</v>
      </c>
      <c r="E22" s="28">
        <v>1169.5999999999999</v>
      </c>
      <c r="F22" s="22">
        <v>1.7149999999999999E-2</v>
      </c>
      <c r="G22" s="31">
        <v>10.57</v>
      </c>
      <c r="H22" s="1">
        <v>600</v>
      </c>
      <c r="I22" s="150">
        <v>2.0590000000000002</v>
      </c>
      <c r="L22" s="119">
        <v>18</v>
      </c>
      <c r="M22" s="110">
        <v>255.26499999999999</v>
      </c>
      <c r="N22" s="110">
        <v>223.75700000000001</v>
      </c>
      <c r="O22" s="110">
        <v>941.85699999999997</v>
      </c>
      <c r="P22" s="110">
        <v>1165.6099999999999</v>
      </c>
      <c r="Q22" s="110">
        <v>7.8844800000000007E-2</v>
      </c>
      <c r="R22" s="110">
        <v>12.683199999999999</v>
      </c>
      <c r="S22" s="110">
        <v>0.37531900000000001</v>
      </c>
      <c r="T22" s="110">
        <v>1.3173999999999999</v>
      </c>
      <c r="U22" s="110">
        <v>1.69272</v>
      </c>
      <c r="V22" s="110">
        <v>0.389934</v>
      </c>
      <c r="W22" s="110">
        <v>0.52564500000000003</v>
      </c>
      <c r="X22" s="110">
        <v>1586.24</v>
      </c>
      <c r="Y22" s="111">
        <v>8.7996699999999994E-6</v>
      </c>
      <c r="Z22" s="110">
        <v>1.30968</v>
      </c>
      <c r="AA22" s="109">
        <v>0.97372599999999998</v>
      </c>
    </row>
    <row r="23" spans="1:27" ht="13.8" thickBot="1" x14ac:dyDescent="0.3">
      <c r="A23" s="30">
        <v>26</v>
      </c>
      <c r="B23" s="26">
        <v>268.3</v>
      </c>
      <c r="C23" s="27">
        <v>237.2</v>
      </c>
      <c r="D23" s="28">
        <v>932.9</v>
      </c>
      <c r="E23" s="28">
        <v>1170.0999999999999</v>
      </c>
      <c r="F23" s="22">
        <v>1.7160000000000002E-2</v>
      </c>
      <c r="G23" s="31">
        <v>10.33</v>
      </c>
      <c r="L23" s="121">
        <v>19</v>
      </c>
      <c r="M23" s="122">
        <v>257.02199999999999</v>
      </c>
      <c r="N23" s="122">
        <v>225.54400000000001</v>
      </c>
      <c r="O23" s="122">
        <v>940.66600000000005</v>
      </c>
      <c r="P23" s="122">
        <v>1166.21</v>
      </c>
      <c r="Q23" s="122">
        <v>8.1101099999999995E-2</v>
      </c>
      <c r="R23" s="122">
        <v>12.330299999999999</v>
      </c>
      <c r="S23" s="122">
        <v>0.37781100000000001</v>
      </c>
      <c r="T23" s="122">
        <v>1.3125100000000001</v>
      </c>
      <c r="U23" s="122">
        <v>1.69032</v>
      </c>
      <c r="V23" s="122">
        <v>0.39082699999999998</v>
      </c>
      <c r="W23" s="122">
        <v>0.52707599999999999</v>
      </c>
      <c r="X23" s="122">
        <v>1587.6</v>
      </c>
      <c r="Y23" s="123">
        <v>8.8223099999999992E-6</v>
      </c>
      <c r="Z23" s="122">
        <v>1.3094300000000001</v>
      </c>
      <c r="AA23" s="124">
        <v>0.97319699999999998</v>
      </c>
    </row>
    <row r="24" spans="1:27" ht="13.8" thickBot="1" x14ac:dyDescent="0.3">
      <c r="A24" s="32">
        <v>28</v>
      </c>
      <c r="B24" s="33">
        <v>271.2</v>
      </c>
      <c r="C24" s="34">
        <v>240.2</v>
      </c>
      <c r="D24" s="35">
        <v>930.8</v>
      </c>
      <c r="E24" s="35">
        <v>1171</v>
      </c>
      <c r="F24" s="36">
        <v>1.719E-2</v>
      </c>
      <c r="G24" s="40">
        <v>9.8740000000000006</v>
      </c>
      <c r="L24" s="125">
        <v>20</v>
      </c>
      <c r="M24" s="126">
        <v>258.73700000000002</v>
      </c>
      <c r="N24" s="126">
        <v>227.28800000000001</v>
      </c>
      <c r="O24" s="126">
        <v>939.5</v>
      </c>
      <c r="P24" s="126">
        <v>1166.79</v>
      </c>
      <c r="Q24" s="126">
        <v>8.3353399999999994E-2</v>
      </c>
      <c r="R24" s="126">
        <v>11.9971</v>
      </c>
      <c r="S24" s="126">
        <v>0.38023800000000002</v>
      </c>
      <c r="T24" s="126">
        <v>1.30775</v>
      </c>
      <c r="U24" s="126">
        <v>1.6879900000000001</v>
      </c>
      <c r="V24" s="126">
        <v>0.39171</v>
      </c>
      <c r="W24" s="126">
        <v>0.52849500000000005</v>
      </c>
      <c r="X24" s="126">
        <v>1588.92</v>
      </c>
      <c r="Y24" s="127">
        <v>8.8444100000000002E-6</v>
      </c>
      <c r="Z24" s="126">
        <v>1.3091900000000001</v>
      </c>
      <c r="AA24" s="128">
        <v>0.97267199999999998</v>
      </c>
    </row>
    <row r="25" spans="1:27" x14ac:dyDescent="0.25">
      <c r="A25" s="30">
        <v>30</v>
      </c>
      <c r="B25" s="26">
        <v>274</v>
      </c>
      <c r="C25" s="27">
        <v>243.1</v>
      </c>
      <c r="D25" s="28">
        <v>928.9</v>
      </c>
      <c r="E25" s="28">
        <v>1172</v>
      </c>
      <c r="F25" s="22">
        <v>1.721E-2</v>
      </c>
      <c r="G25" s="41">
        <v>9.4589999999999996</v>
      </c>
      <c r="L25" s="120">
        <v>21</v>
      </c>
      <c r="M25" s="113">
        <v>260.41300000000001</v>
      </c>
      <c r="N25" s="113">
        <v>228.99299999999999</v>
      </c>
      <c r="O25" s="113">
        <v>938.35699999999997</v>
      </c>
      <c r="P25" s="113">
        <v>1167.3499999999999</v>
      </c>
      <c r="Q25" s="113">
        <v>8.5601899999999995E-2</v>
      </c>
      <c r="R25" s="113">
        <v>11.682</v>
      </c>
      <c r="S25" s="113">
        <v>0.382604</v>
      </c>
      <c r="T25" s="113">
        <v>1.3031200000000001</v>
      </c>
      <c r="U25" s="113">
        <v>1.68573</v>
      </c>
      <c r="V25" s="113">
        <v>0.39258399999999999</v>
      </c>
      <c r="W25" s="113">
        <v>0.52990199999999998</v>
      </c>
      <c r="X25" s="113">
        <v>1590.2</v>
      </c>
      <c r="Y25" s="114">
        <v>8.8659999999999995E-6</v>
      </c>
      <c r="Z25" s="113">
        <v>1.3089500000000001</v>
      </c>
      <c r="AA25" s="112">
        <v>0.97215300000000004</v>
      </c>
    </row>
    <row r="26" spans="1:27" x14ac:dyDescent="0.25">
      <c r="A26" s="30">
        <v>32</v>
      </c>
      <c r="B26" s="26">
        <v>276.7</v>
      </c>
      <c r="C26" s="27">
        <v>245.8</v>
      </c>
      <c r="D26" s="28">
        <v>926.9</v>
      </c>
      <c r="E26" s="28">
        <v>1172.7</v>
      </c>
      <c r="F26" s="22">
        <v>1.7229999999999999E-2</v>
      </c>
      <c r="G26" s="41">
        <v>9.0779999999999994</v>
      </c>
      <c r="L26" s="119">
        <v>22</v>
      </c>
      <c r="M26" s="110">
        <v>262.05099999999999</v>
      </c>
      <c r="N26" s="110">
        <v>230.66</v>
      </c>
      <c r="O26" s="110">
        <v>937.23699999999997</v>
      </c>
      <c r="P26" s="110">
        <v>1167.9000000000001</v>
      </c>
      <c r="Q26" s="110">
        <v>8.7846800000000003E-2</v>
      </c>
      <c r="R26" s="110">
        <v>11.3835</v>
      </c>
      <c r="S26" s="110">
        <v>0.38491199999999998</v>
      </c>
      <c r="T26" s="110">
        <v>1.29861</v>
      </c>
      <c r="U26" s="110">
        <v>1.68353</v>
      </c>
      <c r="V26" s="110">
        <v>0.39344899999999999</v>
      </c>
      <c r="W26" s="110">
        <v>0.53129700000000002</v>
      </c>
      <c r="X26" s="110">
        <v>1591.44</v>
      </c>
      <c r="Y26" s="111">
        <v>8.8871100000000007E-6</v>
      </c>
      <c r="Z26" s="110">
        <v>1.30871</v>
      </c>
      <c r="AA26" s="109">
        <v>0.97163900000000003</v>
      </c>
    </row>
    <row r="27" spans="1:27" x14ac:dyDescent="0.25">
      <c r="A27" s="30">
        <v>34</v>
      </c>
      <c r="B27" s="26">
        <v>279.39999999999998</v>
      </c>
      <c r="C27" s="27">
        <v>248.5</v>
      </c>
      <c r="D27" s="28">
        <v>925.1</v>
      </c>
      <c r="E27" s="28">
        <v>1173.5999999999999</v>
      </c>
      <c r="F27" s="22">
        <v>1.7260000000000001E-2</v>
      </c>
      <c r="G27" s="41">
        <v>8.7279999999999998</v>
      </c>
      <c r="L27" s="120">
        <v>23</v>
      </c>
      <c r="M27" s="113">
        <v>263.65300000000002</v>
      </c>
      <c r="N27" s="113">
        <v>232.292</v>
      </c>
      <c r="O27" s="113">
        <v>936.13800000000003</v>
      </c>
      <c r="P27" s="113">
        <v>1168.43</v>
      </c>
      <c r="Q27" s="113">
        <v>9.0088100000000004E-2</v>
      </c>
      <c r="R27" s="113">
        <v>11.100300000000001</v>
      </c>
      <c r="S27" s="113">
        <v>0.38716499999999998</v>
      </c>
      <c r="T27" s="113">
        <v>1.2942199999999999</v>
      </c>
      <c r="U27" s="113">
        <v>1.6813800000000001</v>
      </c>
      <c r="V27" s="113">
        <v>0.39430599999999999</v>
      </c>
      <c r="W27" s="113">
        <v>0.53268099999999996</v>
      </c>
      <c r="X27" s="113">
        <v>1592.64</v>
      </c>
      <c r="Y27" s="114">
        <v>8.9077600000000002E-6</v>
      </c>
      <c r="Z27" s="113">
        <v>1.3084800000000001</v>
      </c>
      <c r="AA27" s="112">
        <v>0.97112900000000002</v>
      </c>
    </row>
    <row r="28" spans="1:27" x14ac:dyDescent="0.25">
      <c r="A28" s="30">
        <v>35</v>
      </c>
      <c r="B28" s="26">
        <v>280.60000000000002</v>
      </c>
      <c r="C28" s="27">
        <v>249.8</v>
      </c>
      <c r="D28" s="28">
        <v>924.2</v>
      </c>
      <c r="E28" s="28">
        <v>1174</v>
      </c>
      <c r="F28" s="22">
        <v>1.7270000000000001E-2</v>
      </c>
      <c r="G28" s="41">
        <v>8.5630000000000006</v>
      </c>
      <c r="L28" s="119">
        <v>24</v>
      </c>
      <c r="M28" s="110">
        <v>265.221</v>
      </c>
      <c r="N28" s="110">
        <v>233.88900000000001</v>
      </c>
      <c r="O28" s="110">
        <v>935.05899999999997</v>
      </c>
      <c r="P28" s="110">
        <v>1168.95</v>
      </c>
      <c r="Q28" s="110">
        <v>9.2325900000000002E-2</v>
      </c>
      <c r="R28" s="110">
        <v>10.831200000000001</v>
      </c>
      <c r="S28" s="110">
        <v>0.38936700000000002</v>
      </c>
      <c r="T28" s="110">
        <v>1.28993</v>
      </c>
      <c r="U28" s="110">
        <v>1.6793</v>
      </c>
      <c r="V28" s="110">
        <v>0.39515400000000001</v>
      </c>
      <c r="W28" s="110">
        <v>0.534053</v>
      </c>
      <c r="X28" s="110">
        <v>1593.8</v>
      </c>
      <c r="Y28" s="111">
        <v>8.9279800000000002E-6</v>
      </c>
      <c r="Z28" s="110">
        <v>1.3082499999999999</v>
      </c>
      <c r="AA28" s="109">
        <v>0.97062400000000004</v>
      </c>
    </row>
    <row r="29" spans="1:27" x14ac:dyDescent="0.25">
      <c r="A29" s="30">
        <v>36</v>
      </c>
      <c r="B29" s="26">
        <v>281.89999999999998</v>
      </c>
      <c r="C29" s="27">
        <v>251.1</v>
      </c>
      <c r="D29" s="28">
        <v>923.3</v>
      </c>
      <c r="E29" s="28">
        <v>1174.4000000000001</v>
      </c>
      <c r="F29" s="22">
        <v>1.728E-2</v>
      </c>
      <c r="G29" s="41">
        <v>8.4039999999999999</v>
      </c>
      <c r="L29" s="120">
        <v>25</v>
      </c>
      <c r="M29" s="113">
        <v>266.75599999999997</v>
      </c>
      <c r="N29" s="113">
        <v>235.45400000000001</v>
      </c>
      <c r="O29" s="113">
        <v>933.99900000000002</v>
      </c>
      <c r="P29" s="113">
        <v>1169.45</v>
      </c>
      <c r="Q29" s="113">
        <v>9.4560400000000003E-2</v>
      </c>
      <c r="R29" s="113">
        <v>10.575200000000001</v>
      </c>
      <c r="S29" s="113">
        <v>0.39151900000000001</v>
      </c>
      <c r="T29" s="113">
        <v>1.2857499999999999</v>
      </c>
      <c r="U29" s="113">
        <v>1.67726</v>
      </c>
      <c r="V29" s="113">
        <v>0.39599400000000001</v>
      </c>
      <c r="W29" s="113">
        <v>0.53541499999999997</v>
      </c>
      <c r="X29" s="113">
        <v>1594.94</v>
      </c>
      <c r="Y29" s="114">
        <v>8.9477700000000006E-6</v>
      </c>
      <c r="Z29" s="113">
        <v>1.30802</v>
      </c>
      <c r="AA29" s="112">
        <v>0.97012399999999999</v>
      </c>
    </row>
    <row r="30" spans="1:27" ht="13.8" thickBot="1" x14ac:dyDescent="0.3">
      <c r="A30" s="32">
        <v>38</v>
      </c>
      <c r="B30" s="33">
        <v>284.3</v>
      </c>
      <c r="C30" s="34">
        <v>253.6</v>
      </c>
      <c r="D30" s="35">
        <v>921.5</v>
      </c>
      <c r="E30" s="35">
        <v>1175.0999999999999</v>
      </c>
      <c r="F30" s="36">
        <v>1.7299999999999999E-2</v>
      </c>
      <c r="G30" s="40">
        <v>8.1039999999999992</v>
      </c>
      <c r="L30" s="119">
        <v>26</v>
      </c>
      <c r="M30" s="110">
        <v>268.26100000000002</v>
      </c>
      <c r="N30" s="110">
        <v>236.98699999999999</v>
      </c>
      <c r="O30" s="110">
        <v>932.95799999999997</v>
      </c>
      <c r="P30" s="110">
        <v>1169.95</v>
      </c>
      <c r="Q30" s="110">
        <v>9.6791699999999994E-2</v>
      </c>
      <c r="R30" s="110">
        <v>10.3315</v>
      </c>
      <c r="S30" s="110">
        <v>0.39362399999999997</v>
      </c>
      <c r="T30" s="110">
        <v>1.28166</v>
      </c>
      <c r="U30" s="110">
        <v>1.6752800000000001</v>
      </c>
      <c r="V30" s="110">
        <v>0.39682699999999999</v>
      </c>
      <c r="W30" s="110">
        <v>0.53676699999999999</v>
      </c>
      <c r="X30" s="110">
        <v>1596.04</v>
      </c>
      <c r="Y30" s="111">
        <v>8.96716E-6</v>
      </c>
      <c r="Z30" s="110">
        <v>1.3078000000000001</v>
      </c>
      <c r="AA30" s="109">
        <v>0.96962700000000002</v>
      </c>
    </row>
    <row r="31" spans="1:27" x14ac:dyDescent="0.25">
      <c r="A31" s="30">
        <v>40</v>
      </c>
      <c r="B31" s="26">
        <v>286.7</v>
      </c>
      <c r="C31" s="27">
        <v>256</v>
      </c>
      <c r="D31" s="28">
        <v>919.8</v>
      </c>
      <c r="E31" s="28">
        <v>1175.8</v>
      </c>
      <c r="F31" s="22">
        <v>1.7330000000000002E-2</v>
      </c>
      <c r="G31" s="41">
        <v>7.8259999999999996</v>
      </c>
      <c r="L31" s="120">
        <v>27</v>
      </c>
      <c r="M31" s="113">
        <v>269.73500000000001</v>
      </c>
      <c r="N31" s="113">
        <v>238.49100000000001</v>
      </c>
      <c r="O31" s="113">
        <v>931.93399999999997</v>
      </c>
      <c r="P31" s="113">
        <v>1170.43</v>
      </c>
      <c r="Q31" s="113">
        <v>9.9019899999999994E-2</v>
      </c>
      <c r="R31" s="113">
        <v>10.099</v>
      </c>
      <c r="S31" s="113">
        <v>0.39568300000000001</v>
      </c>
      <c r="T31" s="113">
        <v>1.27766</v>
      </c>
      <c r="U31" s="113">
        <v>1.6733499999999999</v>
      </c>
      <c r="V31" s="113">
        <v>0.39765200000000001</v>
      </c>
      <c r="W31" s="113">
        <v>0.53810899999999995</v>
      </c>
      <c r="X31" s="113">
        <v>1597.11</v>
      </c>
      <c r="Y31" s="114">
        <v>8.9861700000000001E-6</v>
      </c>
      <c r="Z31" s="113">
        <v>1.30758</v>
      </c>
      <c r="AA31" s="112">
        <v>0.96913499999999997</v>
      </c>
    </row>
    <row r="32" spans="1:27" x14ac:dyDescent="0.25">
      <c r="A32" s="30">
        <v>42</v>
      </c>
      <c r="B32" s="26">
        <v>289</v>
      </c>
      <c r="C32" s="27">
        <v>258.39999999999998</v>
      </c>
      <c r="D32" s="28">
        <v>918.1</v>
      </c>
      <c r="E32" s="28">
        <v>1176.5</v>
      </c>
      <c r="F32" s="22">
        <v>1.7350000000000001E-2</v>
      </c>
      <c r="G32" s="41">
        <v>7.5659999999999998</v>
      </c>
      <c r="L32" s="119">
        <v>28</v>
      </c>
      <c r="M32" s="110">
        <v>271.18099999999998</v>
      </c>
      <c r="N32" s="110">
        <v>239.96700000000001</v>
      </c>
      <c r="O32" s="110">
        <v>930.928</v>
      </c>
      <c r="P32" s="110">
        <v>1170.8900000000001</v>
      </c>
      <c r="Q32" s="110">
        <v>0.101245</v>
      </c>
      <c r="R32" s="110">
        <v>9.8770199999999999</v>
      </c>
      <c r="S32" s="110">
        <v>0.3977</v>
      </c>
      <c r="T32" s="110">
        <v>1.27376</v>
      </c>
      <c r="U32" s="110">
        <v>1.6714599999999999</v>
      </c>
      <c r="V32" s="110">
        <v>0.39846999999999999</v>
      </c>
      <c r="W32" s="110">
        <v>0.53944000000000003</v>
      </c>
      <c r="X32" s="110">
        <v>1598.15</v>
      </c>
      <c r="Y32" s="111">
        <v>9.0048200000000003E-6</v>
      </c>
      <c r="Z32" s="110">
        <v>1.3073600000000001</v>
      </c>
      <c r="AA32" s="109">
        <v>0.96864700000000004</v>
      </c>
    </row>
    <row r="33" spans="1:27" x14ac:dyDescent="0.25">
      <c r="A33" s="30">
        <v>44</v>
      </c>
      <c r="B33" s="26">
        <v>291.3</v>
      </c>
      <c r="C33" s="27">
        <v>260.7</v>
      </c>
      <c r="D33" s="28">
        <v>916.4</v>
      </c>
      <c r="E33" s="28">
        <v>1177.2</v>
      </c>
      <c r="F33" s="22">
        <v>1.737E-2</v>
      </c>
      <c r="G33" s="41">
        <v>7.3230000000000004</v>
      </c>
      <c r="L33" s="120">
        <v>29</v>
      </c>
      <c r="M33" s="113">
        <v>272.60000000000002</v>
      </c>
      <c r="N33" s="113">
        <v>241.416</v>
      </c>
      <c r="O33" s="113">
        <v>929.93700000000001</v>
      </c>
      <c r="P33" s="113">
        <v>1171.3499999999999</v>
      </c>
      <c r="Q33" s="113">
        <v>0.103467</v>
      </c>
      <c r="R33" s="113">
        <v>9.6648800000000001</v>
      </c>
      <c r="S33" s="113">
        <v>0.39967599999999998</v>
      </c>
      <c r="T33" s="113">
        <v>1.2699400000000001</v>
      </c>
      <c r="U33" s="113">
        <v>1.66961</v>
      </c>
      <c r="V33" s="113">
        <v>0.399281</v>
      </c>
      <c r="W33" s="113">
        <v>0.54076299999999999</v>
      </c>
      <c r="X33" s="113">
        <v>1599.16</v>
      </c>
      <c r="Y33" s="114">
        <v>9.0231199999999998E-6</v>
      </c>
      <c r="Z33" s="113">
        <v>1.30715</v>
      </c>
      <c r="AA33" s="112">
        <v>0.96816199999999997</v>
      </c>
    </row>
    <row r="34" spans="1:27" x14ac:dyDescent="0.25">
      <c r="A34" s="30">
        <v>45</v>
      </c>
      <c r="B34" s="26">
        <v>292.39999999999998</v>
      </c>
      <c r="C34" s="27">
        <v>261.89999999999998</v>
      </c>
      <c r="D34" s="28">
        <v>915.6</v>
      </c>
      <c r="E34" s="28">
        <v>1177.5</v>
      </c>
      <c r="F34" s="22">
        <v>1.738E-2</v>
      </c>
      <c r="G34" s="41">
        <v>7.2080000000000002</v>
      </c>
      <c r="L34" s="119">
        <v>30</v>
      </c>
      <c r="M34" s="110">
        <v>273.99299999999999</v>
      </c>
      <c r="N34" s="110">
        <v>242.83799999999999</v>
      </c>
      <c r="O34" s="110">
        <v>928.96199999999999</v>
      </c>
      <c r="P34" s="110">
        <v>1171.8</v>
      </c>
      <c r="Q34" s="110">
        <v>0.105687</v>
      </c>
      <c r="R34" s="110">
        <v>9.4619199999999992</v>
      </c>
      <c r="S34" s="110">
        <v>0.40161200000000002</v>
      </c>
      <c r="T34" s="110">
        <v>1.2662</v>
      </c>
      <c r="U34" s="110">
        <v>1.66781</v>
      </c>
      <c r="V34" s="110">
        <v>0.40008500000000002</v>
      </c>
      <c r="W34" s="110">
        <v>0.542076</v>
      </c>
      <c r="X34" s="110">
        <v>1600.15</v>
      </c>
      <c r="Y34" s="111">
        <v>9.0410799999999992E-6</v>
      </c>
      <c r="Z34" s="110">
        <v>1.30694</v>
      </c>
      <c r="AA34" s="109">
        <v>0.96768100000000001</v>
      </c>
    </row>
    <row r="35" spans="1:27" x14ac:dyDescent="0.25">
      <c r="A35" s="30">
        <v>46</v>
      </c>
      <c r="B35" s="26">
        <v>293.5</v>
      </c>
      <c r="C35" s="27">
        <v>263</v>
      </c>
      <c r="D35" s="28">
        <v>914.8</v>
      </c>
      <c r="E35" s="28">
        <v>1177.8</v>
      </c>
      <c r="F35" s="22">
        <v>1.7389999999999999E-2</v>
      </c>
      <c r="G35" s="41">
        <v>7.0960000000000001</v>
      </c>
      <c r="L35" s="120">
        <v>31</v>
      </c>
      <c r="M35" s="113">
        <v>275.36099999999999</v>
      </c>
      <c r="N35" s="113">
        <v>244.23599999999999</v>
      </c>
      <c r="O35" s="113">
        <v>928.00099999999998</v>
      </c>
      <c r="P35" s="113">
        <v>1172.24</v>
      </c>
      <c r="Q35" s="113">
        <v>0.107904</v>
      </c>
      <c r="R35" s="113">
        <v>9.2675400000000003</v>
      </c>
      <c r="S35" s="113">
        <v>0.40351100000000001</v>
      </c>
      <c r="T35" s="113">
        <v>1.2625299999999999</v>
      </c>
      <c r="U35" s="113">
        <v>1.66604</v>
      </c>
      <c r="V35" s="113">
        <v>0.40088200000000002</v>
      </c>
      <c r="W35" s="113">
        <v>0.543381</v>
      </c>
      <c r="X35" s="113">
        <v>1601.11</v>
      </c>
      <c r="Y35" s="114">
        <v>9.0587199999999999E-6</v>
      </c>
      <c r="Z35" s="113">
        <v>1.3067299999999999</v>
      </c>
      <c r="AA35" s="112">
        <v>0.96720399999999995</v>
      </c>
    </row>
    <row r="36" spans="1:27" ht="13.8" thickBot="1" x14ac:dyDescent="0.3">
      <c r="A36" s="32">
        <v>48</v>
      </c>
      <c r="B36" s="33">
        <v>295.60000000000002</v>
      </c>
      <c r="C36" s="34">
        <v>265.2</v>
      </c>
      <c r="D36" s="35">
        <v>913.2</v>
      </c>
      <c r="E36" s="35">
        <v>1178.4000000000001</v>
      </c>
      <c r="F36" s="36">
        <v>1.7409999999999998E-2</v>
      </c>
      <c r="G36" s="40">
        <v>6.883</v>
      </c>
      <c r="L36" s="119">
        <v>32</v>
      </c>
      <c r="M36" s="110">
        <v>276.70499999999998</v>
      </c>
      <c r="N36" s="110">
        <v>245.60900000000001</v>
      </c>
      <c r="O36" s="110">
        <v>927.05499999999995</v>
      </c>
      <c r="P36" s="110">
        <v>1172.6600000000001</v>
      </c>
      <c r="Q36" s="110">
        <v>0.11011799999999999</v>
      </c>
      <c r="R36" s="110">
        <v>9.0812100000000004</v>
      </c>
      <c r="S36" s="110">
        <v>0.40537400000000001</v>
      </c>
      <c r="T36" s="110">
        <v>1.2589399999999999</v>
      </c>
      <c r="U36" s="110">
        <v>1.66432</v>
      </c>
      <c r="V36" s="110">
        <v>0.40167199999999997</v>
      </c>
      <c r="W36" s="110">
        <v>0.54467699999999997</v>
      </c>
      <c r="X36" s="110">
        <v>1602.05</v>
      </c>
      <c r="Y36" s="111">
        <v>9.0760499999999993E-6</v>
      </c>
      <c r="Z36" s="110">
        <v>1.3065199999999999</v>
      </c>
      <c r="AA36" s="109">
        <v>0.96673100000000001</v>
      </c>
    </row>
    <row r="37" spans="1:27" x14ac:dyDescent="0.25">
      <c r="A37" s="30">
        <v>50</v>
      </c>
      <c r="B37" s="26">
        <v>297.7</v>
      </c>
      <c r="C37" s="27">
        <v>267.3</v>
      </c>
      <c r="D37" s="28">
        <v>911.7</v>
      </c>
      <c r="E37" s="28">
        <v>1179</v>
      </c>
      <c r="F37" s="22">
        <v>1.7430000000000001E-2</v>
      </c>
      <c r="G37" s="41">
        <v>6.6829999999999998</v>
      </c>
      <c r="L37" s="120">
        <v>33</v>
      </c>
      <c r="M37" s="113">
        <v>278.02600000000001</v>
      </c>
      <c r="N37" s="113">
        <v>246.96</v>
      </c>
      <c r="O37" s="113">
        <v>926.12300000000005</v>
      </c>
      <c r="P37" s="113">
        <v>1173.08</v>
      </c>
      <c r="Q37" s="113">
        <v>0.112329</v>
      </c>
      <c r="R37" s="113">
        <v>8.9024199999999993</v>
      </c>
      <c r="S37" s="113">
        <v>0.40720200000000001</v>
      </c>
      <c r="T37" s="113">
        <v>1.25543</v>
      </c>
      <c r="U37" s="113">
        <v>1.6626300000000001</v>
      </c>
      <c r="V37" s="113">
        <v>0.40245599999999998</v>
      </c>
      <c r="W37" s="113">
        <v>0.545964</v>
      </c>
      <c r="X37" s="113">
        <v>1602.96</v>
      </c>
      <c r="Y37" s="114">
        <v>9.0930799999999997E-6</v>
      </c>
      <c r="Z37" s="113">
        <v>1.3063199999999999</v>
      </c>
      <c r="AA37" s="112">
        <v>0.96626000000000001</v>
      </c>
    </row>
    <row r="38" spans="1:27" ht="13.8" thickBot="1" x14ac:dyDescent="0.3">
      <c r="A38" s="32">
        <v>55</v>
      </c>
      <c r="B38" s="33">
        <v>302.60000000000002</v>
      </c>
      <c r="C38" s="34">
        <v>272.39999999999998</v>
      </c>
      <c r="D38" s="35">
        <v>908</v>
      </c>
      <c r="E38" s="35">
        <v>1180.4000000000001</v>
      </c>
      <c r="F38" s="36">
        <v>1.7479999999999999E-2</v>
      </c>
      <c r="G38" s="40">
        <v>6.23</v>
      </c>
      <c r="L38" s="119">
        <v>34</v>
      </c>
      <c r="M38" s="110">
        <v>279.32499999999999</v>
      </c>
      <c r="N38" s="110">
        <v>248.28800000000001</v>
      </c>
      <c r="O38" s="110">
        <v>925.20399999999995</v>
      </c>
      <c r="P38" s="110">
        <v>1173.49</v>
      </c>
      <c r="Q38" s="110">
        <v>0.114538</v>
      </c>
      <c r="R38" s="110">
        <v>8.7307400000000008</v>
      </c>
      <c r="S38" s="110">
        <v>0.40899600000000003</v>
      </c>
      <c r="T38" s="110">
        <v>1.2519800000000001</v>
      </c>
      <c r="U38" s="110">
        <v>1.6609700000000001</v>
      </c>
      <c r="V38" s="110">
        <v>0.40323399999999998</v>
      </c>
      <c r="W38" s="110">
        <v>0.54724300000000003</v>
      </c>
      <c r="X38" s="110">
        <v>1603.85</v>
      </c>
      <c r="Y38" s="111">
        <v>9.1098300000000008E-6</v>
      </c>
      <c r="Z38" s="110">
        <v>1.3061199999999999</v>
      </c>
      <c r="AA38" s="109">
        <v>0.96579400000000004</v>
      </c>
    </row>
    <row r="39" spans="1:27" x14ac:dyDescent="0.25">
      <c r="A39" s="30">
        <v>60</v>
      </c>
      <c r="B39" s="26">
        <v>307.3</v>
      </c>
      <c r="C39" s="27">
        <v>277.3</v>
      </c>
      <c r="D39" s="28">
        <v>904.5</v>
      </c>
      <c r="E39" s="28">
        <v>1181.8</v>
      </c>
      <c r="F39" s="22">
        <v>1.753E-2</v>
      </c>
      <c r="G39" s="41">
        <v>5.8369999999999997</v>
      </c>
      <c r="L39" s="120">
        <v>35</v>
      </c>
      <c r="M39" s="113">
        <v>280.60199999999998</v>
      </c>
      <c r="N39" s="113">
        <v>249.595</v>
      </c>
      <c r="O39" s="113">
        <v>924.29700000000003</v>
      </c>
      <c r="P39" s="113">
        <v>1173.8900000000001</v>
      </c>
      <c r="Q39" s="113">
        <v>0.116744</v>
      </c>
      <c r="R39" s="113">
        <v>8.5657300000000003</v>
      </c>
      <c r="S39" s="113">
        <v>0.41075899999999999</v>
      </c>
      <c r="T39" s="113">
        <v>1.2485900000000001</v>
      </c>
      <c r="U39" s="113">
        <v>1.6593500000000001</v>
      </c>
      <c r="V39" s="113">
        <v>0.40400599999999998</v>
      </c>
      <c r="W39" s="113">
        <v>0.54851399999999995</v>
      </c>
      <c r="X39" s="113">
        <v>1604.73</v>
      </c>
      <c r="Y39" s="114">
        <v>9.1262999999999993E-6</v>
      </c>
      <c r="Z39" s="113">
        <v>1.30592</v>
      </c>
      <c r="AA39" s="112">
        <v>0.96533000000000002</v>
      </c>
    </row>
    <row r="40" spans="1:27" ht="13.8" thickBot="1" x14ac:dyDescent="0.3">
      <c r="A40" s="32">
        <v>65</v>
      </c>
      <c r="B40" s="33">
        <v>311.8</v>
      </c>
      <c r="C40" s="34">
        <v>281.89999999999998</v>
      </c>
      <c r="D40" s="35">
        <v>901.1</v>
      </c>
      <c r="E40" s="35">
        <v>1183</v>
      </c>
      <c r="F40" s="36">
        <v>1.7569999999999999E-2</v>
      </c>
      <c r="G40" s="40">
        <v>5.4909999999999997</v>
      </c>
      <c r="L40" s="119">
        <v>36</v>
      </c>
      <c r="M40" s="110">
        <v>281.85899999999998</v>
      </c>
      <c r="N40" s="110">
        <v>250.881</v>
      </c>
      <c r="O40" s="110">
        <v>923.40300000000002</v>
      </c>
      <c r="P40" s="110">
        <v>1174.28</v>
      </c>
      <c r="Q40" s="110">
        <v>0.118948</v>
      </c>
      <c r="R40" s="110">
        <v>8.4070099999999996</v>
      </c>
      <c r="S40" s="110">
        <v>0.412491</v>
      </c>
      <c r="T40" s="110">
        <v>1.2452700000000001</v>
      </c>
      <c r="U40" s="110">
        <v>1.6577599999999999</v>
      </c>
      <c r="V40" s="110">
        <v>0.40477200000000002</v>
      </c>
      <c r="W40" s="110">
        <v>0.54977699999999996</v>
      </c>
      <c r="X40" s="110">
        <v>1605.58</v>
      </c>
      <c r="Y40" s="111">
        <v>9.14251E-6</v>
      </c>
      <c r="Z40" s="110">
        <v>1.30572</v>
      </c>
      <c r="AA40" s="109">
        <v>0.96486899999999998</v>
      </c>
    </row>
    <row r="41" spans="1:27" x14ac:dyDescent="0.25">
      <c r="A41" s="30">
        <v>70</v>
      </c>
      <c r="B41" s="26">
        <v>316</v>
      </c>
      <c r="C41" s="27">
        <v>286.3</v>
      </c>
      <c r="D41" s="28">
        <v>897.9</v>
      </c>
      <c r="E41" s="28">
        <v>1184.0999999999999</v>
      </c>
      <c r="F41" s="22">
        <v>1.7610000000000001E-2</v>
      </c>
      <c r="G41" s="41">
        <v>5.1840000000000002</v>
      </c>
      <c r="L41" s="120">
        <v>37</v>
      </c>
      <c r="M41" s="113">
        <v>283.096</v>
      </c>
      <c r="N41" s="113">
        <v>252.148</v>
      </c>
      <c r="O41" s="113">
        <v>922.52099999999996</v>
      </c>
      <c r="P41" s="113">
        <v>1174.67</v>
      </c>
      <c r="Q41" s="113">
        <v>0.12114999999999999</v>
      </c>
      <c r="R41" s="113">
        <v>8.2542200000000001</v>
      </c>
      <c r="S41" s="113">
        <v>0.41419400000000001</v>
      </c>
      <c r="T41" s="113">
        <v>1.2420100000000001</v>
      </c>
      <c r="U41" s="113">
        <v>1.6561999999999999</v>
      </c>
      <c r="V41" s="113">
        <v>0.405532</v>
      </c>
      <c r="W41" s="113">
        <v>0.551033</v>
      </c>
      <c r="X41" s="113">
        <v>1606.41</v>
      </c>
      <c r="Y41" s="114">
        <v>9.1584599999999994E-6</v>
      </c>
      <c r="Z41" s="113">
        <v>1.3055300000000001</v>
      </c>
      <c r="AA41" s="112">
        <v>0.96441200000000005</v>
      </c>
    </row>
    <row r="42" spans="1:27" ht="13.8" thickBot="1" x14ac:dyDescent="0.3">
      <c r="A42" s="32">
        <v>75</v>
      </c>
      <c r="B42" s="33">
        <v>320</v>
      </c>
      <c r="C42" s="34">
        <v>290.5</v>
      </c>
      <c r="D42" s="35">
        <v>894.8</v>
      </c>
      <c r="E42" s="35">
        <v>1185.2</v>
      </c>
      <c r="F42" s="36">
        <v>1.7659999999999999E-2</v>
      </c>
      <c r="G42" s="40">
        <v>4.9109999999999996</v>
      </c>
      <c r="L42" s="119">
        <v>38</v>
      </c>
      <c r="M42" s="110">
        <v>284.31400000000002</v>
      </c>
      <c r="N42" s="110">
        <v>253.39500000000001</v>
      </c>
      <c r="O42" s="110">
        <v>921.65</v>
      </c>
      <c r="P42" s="110">
        <v>1175.05</v>
      </c>
      <c r="Q42" s="110">
        <v>0.12335</v>
      </c>
      <c r="R42" s="110">
        <v>8.1070399999999996</v>
      </c>
      <c r="S42" s="110">
        <v>0.41586699999999999</v>
      </c>
      <c r="T42" s="110">
        <v>1.2387999999999999</v>
      </c>
      <c r="U42" s="110">
        <v>1.6546700000000001</v>
      </c>
      <c r="V42" s="110">
        <v>0.40628599999999998</v>
      </c>
      <c r="W42" s="110">
        <v>0.55228100000000002</v>
      </c>
      <c r="X42" s="110">
        <v>1607.22</v>
      </c>
      <c r="Y42" s="111">
        <v>9.1741599999999999E-6</v>
      </c>
      <c r="Z42" s="110">
        <v>1.3053300000000001</v>
      </c>
      <c r="AA42" s="109">
        <v>0.96395699999999995</v>
      </c>
    </row>
    <row r="43" spans="1:27" ht="13.8" thickBot="1" x14ac:dyDescent="0.3">
      <c r="A43" s="30">
        <v>80</v>
      </c>
      <c r="B43" s="26">
        <v>323.89999999999998</v>
      </c>
      <c r="C43" s="27">
        <v>294.5</v>
      </c>
      <c r="D43" s="28">
        <v>891.7</v>
      </c>
      <c r="E43" s="28">
        <v>1186.0999999999999</v>
      </c>
      <c r="F43" s="22">
        <v>1.77E-2</v>
      </c>
      <c r="G43" s="41">
        <v>4.665</v>
      </c>
      <c r="L43" s="121">
        <v>39</v>
      </c>
      <c r="M43" s="122">
        <v>285.51299999999998</v>
      </c>
      <c r="N43" s="122">
        <v>254.624</v>
      </c>
      <c r="O43" s="122">
        <v>920.79100000000005</v>
      </c>
      <c r="P43" s="122">
        <v>1175.42</v>
      </c>
      <c r="Q43" s="122">
        <v>0.12554699999999999</v>
      </c>
      <c r="R43" s="122">
        <v>7.9651500000000004</v>
      </c>
      <c r="S43" s="122">
        <v>0.417514</v>
      </c>
      <c r="T43" s="122">
        <v>1.23566</v>
      </c>
      <c r="U43" s="122">
        <v>1.65317</v>
      </c>
      <c r="V43" s="122">
        <v>0.40703400000000001</v>
      </c>
      <c r="W43" s="122">
        <v>0.55352199999999996</v>
      </c>
      <c r="X43" s="122">
        <v>1608.01</v>
      </c>
      <c r="Y43" s="123">
        <v>9.1896200000000006E-6</v>
      </c>
      <c r="Z43" s="122">
        <v>1.30514</v>
      </c>
      <c r="AA43" s="124">
        <v>0.96350599999999997</v>
      </c>
    </row>
    <row r="44" spans="1:27" ht="13.8" thickBot="1" x14ac:dyDescent="0.3">
      <c r="A44" s="32">
        <v>85</v>
      </c>
      <c r="B44" s="33">
        <v>327.60000000000002</v>
      </c>
      <c r="C44" s="34">
        <v>298.3</v>
      </c>
      <c r="D44" s="35">
        <v>888.8</v>
      </c>
      <c r="E44" s="35">
        <v>1187.0999999999999</v>
      </c>
      <c r="F44" s="36">
        <v>1.7739999999999999E-2</v>
      </c>
      <c r="G44" s="40">
        <v>4.444</v>
      </c>
      <c r="L44" s="125">
        <v>40</v>
      </c>
      <c r="M44" s="126">
        <v>286.69400000000002</v>
      </c>
      <c r="N44" s="126">
        <v>255.83600000000001</v>
      </c>
      <c r="O44" s="126">
        <v>919.94200000000001</v>
      </c>
      <c r="P44" s="126">
        <v>1175.78</v>
      </c>
      <c r="Q44" s="126">
        <v>0.12774199999999999</v>
      </c>
      <c r="R44" s="126">
        <v>7.8282699999999998</v>
      </c>
      <c r="S44" s="126">
        <v>0.41913299999999998</v>
      </c>
      <c r="T44" s="126">
        <v>1.2325600000000001</v>
      </c>
      <c r="U44" s="126">
        <v>1.6516999999999999</v>
      </c>
      <c r="V44" s="126">
        <v>0.40777799999999997</v>
      </c>
      <c r="W44" s="126">
        <v>0.554755</v>
      </c>
      <c r="X44" s="126">
        <v>1608.79</v>
      </c>
      <c r="Y44" s="127">
        <v>9.2048500000000005E-6</v>
      </c>
      <c r="Z44" s="126">
        <v>1.3049599999999999</v>
      </c>
      <c r="AA44" s="128">
        <v>0.96305700000000005</v>
      </c>
    </row>
    <row r="45" spans="1:27" x14ac:dyDescent="0.25">
      <c r="A45" s="30">
        <v>90</v>
      </c>
      <c r="B45" s="26">
        <v>331.2</v>
      </c>
      <c r="C45" s="27">
        <v>302</v>
      </c>
      <c r="D45" s="28">
        <v>886</v>
      </c>
      <c r="E45" s="28">
        <v>1188</v>
      </c>
      <c r="F45" s="22">
        <v>1.7780000000000001E-2</v>
      </c>
      <c r="G45" s="41">
        <v>4.242</v>
      </c>
      <c r="L45" s="120">
        <v>41</v>
      </c>
      <c r="M45" s="113">
        <v>287.85899999999998</v>
      </c>
      <c r="N45" s="113">
        <v>257.029</v>
      </c>
      <c r="O45" s="113">
        <v>919.10299999999995</v>
      </c>
      <c r="P45" s="113">
        <v>1176.1300000000001</v>
      </c>
      <c r="Q45" s="113">
        <v>0.12993499999999999</v>
      </c>
      <c r="R45" s="113">
        <v>7.6961399999999998</v>
      </c>
      <c r="S45" s="113">
        <v>0.42072700000000002</v>
      </c>
      <c r="T45" s="113">
        <v>1.2295199999999999</v>
      </c>
      <c r="U45" s="113">
        <v>1.65025</v>
      </c>
      <c r="V45" s="113">
        <v>0.40851599999999999</v>
      </c>
      <c r="W45" s="113">
        <v>0.55598199999999998</v>
      </c>
      <c r="X45" s="113">
        <v>1609.55</v>
      </c>
      <c r="Y45" s="114">
        <v>9.2198600000000002E-6</v>
      </c>
      <c r="Z45" s="113">
        <v>1.30477</v>
      </c>
      <c r="AA45" s="112">
        <v>0.96261099999999999</v>
      </c>
    </row>
    <row r="46" spans="1:27" ht="13.8" thickBot="1" x14ac:dyDescent="0.3">
      <c r="A46" s="32">
        <v>95</v>
      </c>
      <c r="B46" s="33">
        <v>334.6</v>
      </c>
      <c r="C46" s="34">
        <v>305.60000000000002</v>
      </c>
      <c r="D46" s="35">
        <v>883.3</v>
      </c>
      <c r="E46" s="35">
        <v>1188.8</v>
      </c>
      <c r="F46" s="36">
        <v>1.7819999999999999E-2</v>
      </c>
      <c r="G46" s="40">
        <v>4.0590000000000002</v>
      </c>
      <c r="L46" s="119">
        <v>42</v>
      </c>
      <c r="M46" s="110">
        <v>289.00599999999997</v>
      </c>
      <c r="N46" s="110">
        <v>258.20699999999999</v>
      </c>
      <c r="O46" s="110">
        <v>918.27499999999998</v>
      </c>
      <c r="P46" s="110">
        <v>1176.48</v>
      </c>
      <c r="Q46" s="110">
        <v>0.13212599999999999</v>
      </c>
      <c r="R46" s="110">
        <v>7.5685200000000004</v>
      </c>
      <c r="S46" s="110">
        <v>0.42229699999999998</v>
      </c>
      <c r="T46" s="110">
        <v>1.2265299999999999</v>
      </c>
      <c r="U46" s="110">
        <v>1.64883</v>
      </c>
      <c r="V46" s="110">
        <v>0.409248</v>
      </c>
      <c r="W46" s="110">
        <v>0.55720199999999998</v>
      </c>
      <c r="X46" s="110">
        <v>1610.29</v>
      </c>
      <c r="Y46" s="111">
        <v>9.2346499999999998E-6</v>
      </c>
      <c r="Z46" s="110">
        <v>1.3045899999999999</v>
      </c>
      <c r="AA46" s="109">
        <v>0.96216800000000002</v>
      </c>
    </row>
    <row r="47" spans="1:27" x14ac:dyDescent="0.25">
      <c r="A47" s="30">
        <v>100</v>
      </c>
      <c r="B47" s="26">
        <v>337.9</v>
      </c>
      <c r="C47" s="27">
        <v>309.10000000000002</v>
      </c>
      <c r="D47" s="28">
        <v>880.6</v>
      </c>
      <c r="E47" s="28">
        <v>1189.5999999999999</v>
      </c>
      <c r="F47" s="22">
        <v>1.7850000000000001E-2</v>
      </c>
      <c r="G47" s="41">
        <v>3.891</v>
      </c>
      <c r="L47" s="120">
        <v>43</v>
      </c>
      <c r="M47" s="113">
        <v>290.137</v>
      </c>
      <c r="N47" s="113">
        <v>259.36799999999999</v>
      </c>
      <c r="O47" s="113">
        <v>917.45600000000002</v>
      </c>
      <c r="P47" s="113">
        <v>1176.82</v>
      </c>
      <c r="Q47" s="113">
        <v>0.13431499999999999</v>
      </c>
      <c r="R47" s="113">
        <v>7.4451700000000001</v>
      </c>
      <c r="S47" s="113">
        <v>0.423842</v>
      </c>
      <c r="T47" s="113">
        <v>1.22359</v>
      </c>
      <c r="U47" s="113">
        <v>1.6474299999999999</v>
      </c>
      <c r="V47" s="113">
        <v>0.40997600000000001</v>
      </c>
      <c r="W47" s="113">
        <v>0.55841499999999999</v>
      </c>
      <c r="X47" s="113">
        <v>1611.02</v>
      </c>
      <c r="Y47" s="114">
        <v>9.2492400000000006E-6</v>
      </c>
      <c r="Z47" s="113">
        <v>1.3044</v>
      </c>
      <c r="AA47" s="112">
        <v>0.961727</v>
      </c>
    </row>
    <row r="48" spans="1:27" ht="13.8" thickBot="1" x14ac:dyDescent="0.3">
      <c r="A48" s="32">
        <v>105</v>
      </c>
      <c r="B48" s="33">
        <v>341.1</v>
      </c>
      <c r="C48" s="34">
        <v>312.39999999999998</v>
      </c>
      <c r="D48" s="35">
        <v>878</v>
      </c>
      <c r="E48" s="35">
        <v>1190.3</v>
      </c>
      <c r="F48" s="36">
        <v>1.789E-2</v>
      </c>
      <c r="G48" s="40">
        <v>3.7360000000000002</v>
      </c>
      <c r="L48" s="119">
        <v>44</v>
      </c>
      <c r="M48" s="110">
        <v>291.25299999999999</v>
      </c>
      <c r="N48" s="110">
        <v>260.51299999999998</v>
      </c>
      <c r="O48" s="110">
        <v>916.64599999999996</v>
      </c>
      <c r="P48" s="110">
        <v>1177.1600000000001</v>
      </c>
      <c r="Q48" s="110">
        <v>0.13650200000000001</v>
      </c>
      <c r="R48" s="110">
        <v>7.3258700000000001</v>
      </c>
      <c r="S48" s="110">
        <v>0.42536400000000002</v>
      </c>
      <c r="T48" s="110">
        <v>1.2206900000000001</v>
      </c>
      <c r="U48" s="110">
        <v>1.6460600000000001</v>
      </c>
      <c r="V48" s="110">
        <v>0.41069800000000001</v>
      </c>
      <c r="W48" s="110">
        <v>0.55962199999999995</v>
      </c>
      <c r="X48" s="110">
        <v>1611.73</v>
      </c>
      <c r="Y48" s="111">
        <v>9.2636200000000003E-6</v>
      </c>
      <c r="Z48" s="110">
        <v>1.3042199999999999</v>
      </c>
      <c r="AA48" s="109">
        <v>0.96128899999999995</v>
      </c>
    </row>
    <row r="49" spans="1:27" x14ac:dyDescent="0.25">
      <c r="A49" s="30">
        <v>110</v>
      </c>
      <c r="B49" s="26">
        <v>344.2</v>
      </c>
      <c r="C49" s="27">
        <v>315.60000000000002</v>
      </c>
      <c r="D49" s="28">
        <v>875.5</v>
      </c>
      <c r="E49" s="28">
        <v>1191.0999999999999</v>
      </c>
      <c r="F49" s="22">
        <v>1.7919999999999998E-2</v>
      </c>
      <c r="G49" s="41">
        <v>3.5939999999999999</v>
      </c>
      <c r="L49" s="120">
        <v>45</v>
      </c>
      <c r="M49" s="113">
        <v>292.35300000000001</v>
      </c>
      <c r="N49" s="113">
        <v>261.64299999999997</v>
      </c>
      <c r="O49" s="113">
        <v>915.846</v>
      </c>
      <c r="P49" s="113">
        <v>1177.49</v>
      </c>
      <c r="Q49" s="113">
        <v>0.13868800000000001</v>
      </c>
      <c r="R49" s="113">
        <v>7.2104400000000002</v>
      </c>
      <c r="S49" s="113">
        <v>0.42686299999999999</v>
      </c>
      <c r="T49" s="113">
        <v>1.21784</v>
      </c>
      <c r="U49" s="113">
        <v>1.6447099999999999</v>
      </c>
      <c r="V49" s="113">
        <v>0.41141499999999998</v>
      </c>
      <c r="W49" s="113">
        <v>0.56082200000000004</v>
      </c>
      <c r="X49" s="113">
        <v>1612.43</v>
      </c>
      <c r="Y49" s="114">
        <v>9.2777999999999995E-6</v>
      </c>
      <c r="Z49" s="113">
        <v>1.3040499999999999</v>
      </c>
      <c r="AA49" s="112">
        <v>0.96085399999999999</v>
      </c>
    </row>
    <row r="50" spans="1:27" ht="13.8" thickBot="1" x14ac:dyDescent="0.3">
      <c r="A50" s="32">
        <v>115</v>
      </c>
      <c r="B50" s="33">
        <v>347.2</v>
      </c>
      <c r="C50" s="34">
        <v>318.8</v>
      </c>
      <c r="D50" s="35">
        <v>873</v>
      </c>
      <c r="E50" s="35">
        <v>1191.7</v>
      </c>
      <c r="F50" s="36">
        <v>1.796E-2</v>
      </c>
      <c r="G50" s="40">
        <v>3.4620000000000002</v>
      </c>
      <c r="L50" s="119">
        <v>46</v>
      </c>
      <c r="M50" s="110">
        <v>293.43900000000002</v>
      </c>
      <c r="N50" s="110">
        <v>262.75799999999998</v>
      </c>
      <c r="O50" s="110">
        <v>915.05399999999997</v>
      </c>
      <c r="P50" s="110">
        <v>1177.81</v>
      </c>
      <c r="Q50" s="110">
        <v>0.140871</v>
      </c>
      <c r="R50" s="110">
        <v>7.0986799999999999</v>
      </c>
      <c r="S50" s="110">
        <v>0.42834100000000003</v>
      </c>
      <c r="T50" s="110">
        <v>1.2150399999999999</v>
      </c>
      <c r="U50" s="110">
        <v>1.6433800000000001</v>
      </c>
      <c r="V50" s="110">
        <v>0.41212799999999999</v>
      </c>
      <c r="W50" s="110">
        <v>0.56201599999999996</v>
      </c>
      <c r="X50" s="110">
        <v>1613.11</v>
      </c>
      <c r="Y50" s="111">
        <v>9.2917999999999997E-6</v>
      </c>
      <c r="Z50" s="110">
        <v>1.3038700000000001</v>
      </c>
      <c r="AA50" s="109">
        <v>0.96042099999999997</v>
      </c>
    </row>
    <row r="51" spans="1:27" x14ac:dyDescent="0.25">
      <c r="A51" s="30">
        <v>120</v>
      </c>
      <c r="B51" s="26">
        <v>350.1</v>
      </c>
      <c r="C51" s="27">
        <v>321.8</v>
      </c>
      <c r="D51" s="28">
        <v>870.5</v>
      </c>
      <c r="E51" s="28">
        <v>1192.3</v>
      </c>
      <c r="F51" s="22">
        <v>1.7989999999999999E-2</v>
      </c>
      <c r="G51" s="41">
        <v>3.34</v>
      </c>
      <c r="L51" s="120">
        <v>47</v>
      </c>
      <c r="M51" s="113">
        <v>294.51</v>
      </c>
      <c r="N51" s="113">
        <v>263.86</v>
      </c>
      <c r="O51" s="113">
        <v>914.27099999999996</v>
      </c>
      <c r="P51" s="113">
        <v>1178.1300000000001</v>
      </c>
      <c r="Q51" s="113">
        <v>0.14305300000000001</v>
      </c>
      <c r="R51" s="113">
        <v>6.9904200000000003</v>
      </c>
      <c r="S51" s="113">
        <v>0.42979800000000001</v>
      </c>
      <c r="T51" s="113">
        <v>1.21227</v>
      </c>
      <c r="U51" s="113">
        <v>1.6420699999999999</v>
      </c>
      <c r="V51" s="113">
        <v>0.41283599999999998</v>
      </c>
      <c r="W51" s="113">
        <v>0.56320400000000004</v>
      </c>
      <c r="X51" s="113">
        <v>1613.78</v>
      </c>
      <c r="Y51" s="114">
        <v>9.3056100000000002E-6</v>
      </c>
      <c r="Z51" s="113">
        <v>1.30369</v>
      </c>
      <c r="AA51" s="112">
        <v>0.95999000000000001</v>
      </c>
    </row>
    <row r="52" spans="1:27" ht="13.8" thickBot="1" x14ac:dyDescent="0.3">
      <c r="A52" s="32">
        <v>125</v>
      </c>
      <c r="B52" s="33">
        <v>352.9</v>
      </c>
      <c r="C52" s="34">
        <v>324.8</v>
      </c>
      <c r="D52" s="35">
        <v>868.2</v>
      </c>
      <c r="E52" s="35">
        <v>1193</v>
      </c>
      <c r="F52" s="36">
        <v>1.8030000000000001E-2</v>
      </c>
      <c r="G52" s="40">
        <v>3.226</v>
      </c>
      <c r="L52" s="119">
        <v>48</v>
      </c>
      <c r="M52" s="110">
        <v>295.56799999999998</v>
      </c>
      <c r="N52" s="110">
        <v>264.947</v>
      </c>
      <c r="O52" s="110">
        <v>913.49699999999996</v>
      </c>
      <c r="P52" s="110">
        <v>1178.44</v>
      </c>
      <c r="Q52" s="110">
        <v>0.145233</v>
      </c>
      <c r="R52" s="110">
        <v>6.8855000000000004</v>
      </c>
      <c r="S52" s="110">
        <v>0.43123499999999998</v>
      </c>
      <c r="T52" s="110">
        <v>1.2095499999999999</v>
      </c>
      <c r="U52" s="110">
        <v>1.6407799999999999</v>
      </c>
      <c r="V52" s="110">
        <v>0.41353899999999999</v>
      </c>
      <c r="W52" s="110">
        <v>0.56438500000000003</v>
      </c>
      <c r="X52" s="110">
        <v>1614.44</v>
      </c>
      <c r="Y52" s="111">
        <v>9.3192399999999999E-6</v>
      </c>
      <c r="Z52" s="110">
        <v>1.30352</v>
      </c>
      <c r="AA52" s="109">
        <v>0.95956200000000003</v>
      </c>
    </row>
    <row r="53" spans="1:27" x14ac:dyDescent="0.25">
      <c r="A53" s="30">
        <v>130</v>
      </c>
      <c r="B53" s="26">
        <v>355.6</v>
      </c>
      <c r="C53" s="27">
        <v>327.7</v>
      </c>
      <c r="D53" s="28">
        <v>865.9</v>
      </c>
      <c r="E53" s="28">
        <v>1193.5</v>
      </c>
      <c r="F53" s="22">
        <v>1.806E-2</v>
      </c>
      <c r="G53" s="41">
        <v>3.1190000000000002</v>
      </c>
      <c r="L53" s="120">
        <v>49</v>
      </c>
      <c r="M53" s="113">
        <v>296.61200000000002</v>
      </c>
      <c r="N53" s="113">
        <v>266.02100000000002</v>
      </c>
      <c r="O53" s="113">
        <v>912.73</v>
      </c>
      <c r="P53" s="113">
        <v>1178.75</v>
      </c>
      <c r="Q53" s="113">
        <v>0.14741099999999999</v>
      </c>
      <c r="R53" s="113">
        <v>6.78376</v>
      </c>
      <c r="S53" s="113">
        <v>0.43265100000000001</v>
      </c>
      <c r="T53" s="113">
        <v>1.20686</v>
      </c>
      <c r="U53" s="113">
        <v>1.6395200000000001</v>
      </c>
      <c r="V53" s="113">
        <v>0.414238</v>
      </c>
      <c r="W53" s="113">
        <v>0.56556099999999998</v>
      </c>
      <c r="X53" s="113">
        <v>1615.08</v>
      </c>
      <c r="Y53" s="114">
        <v>9.3326999999999996E-6</v>
      </c>
      <c r="Z53" s="113">
        <v>1.30335</v>
      </c>
      <c r="AA53" s="112">
        <v>0.95913599999999999</v>
      </c>
    </row>
    <row r="54" spans="1:27" ht="13.8" thickBot="1" x14ac:dyDescent="0.3">
      <c r="A54" s="32">
        <v>135</v>
      </c>
      <c r="B54" s="33">
        <v>358.3</v>
      </c>
      <c r="C54" s="34">
        <v>330.5</v>
      </c>
      <c r="D54" s="35">
        <v>863.6</v>
      </c>
      <c r="E54" s="35">
        <v>1194</v>
      </c>
      <c r="F54" s="36">
        <v>1.8089999999999998E-2</v>
      </c>
      <c r="G54" s="40">
        <v>3.02</v>
      </c>
      <c r="L54" s="119">
        <v>50</v>
      </c>
      <c r="M54" s="110">
        <v>297.64299999999997</v>
      </c>
      <c r="N54" s="110">
        <v>267.08100000000002</v>
      </c>
      <c r="O54" s="110">
        <v>911.97199999999998</v>
      </c>
      <c r="P54" s="110">
        <v>1179.05</v>
      </c>
      <c r="Q54" s="110">
        <v>0.149587</v>
      </c>
      <c r="R54" s="110">
        <v>6.6850500000000004</v>
      </c>
      <c r="S54" s="110">
        <v>0.43404900000000002</v>
      </c>
      <c r="T54" s="110">
        <v>1.2042200000000001</v>
      </c>
      <c r="U54" s="110">
        <v>1.6382699999999999</v>
      </c>
      <c r="V54" s="110">
        <v>0.41493200000000002</v>
      </c>
      <c r="W54" s="110">
        <v>0.56673099999999998</v>
      </c>
      <c r="X54" s="110">
        <v>1615.71</v>
      </c>
      <c r="Y54" s="111">
        <v>9.3459800000000003E-6</v>
      </c>
      <c r="Z54" s="110">
        <v>1.30318</v>
      </c>
      <c r="AA54" s="109">
        <v>0.95871300000000004</v>
      </c>
    </row>
    <row r="55" spans="1:27" x14ac:dyDescent="0.25">
      <c r="A55" s="30">
        <v>140</v>
      </c>
      <c r="B55" s="26">
        <v>360.9</v>
      </c>
      <c r="C55" s="27">
        <v>333.2</v>
      </c>
      <c r="D55" s="28">
        <v>861.3</v>
      </c>
      <c r="E55" s="28">
        <v>1194.5</v>
      </c>
      <c r="F55" s="22">
        <v>1.8120000000000001E-2</v>
      </c>
      <c r="G55" s="41">
        <v>2.927</v>
      </c>
      <c r="L55" s="120">
        <v>51</v>
      </c>
      <c r="M55" s="113">
        <v>298.661</v>
      </c>
      <c r="N55" s="113">
        <v>268.13</v>
      </c>
      <c r="O55" s="113">
        <v>911.221</v>
      </c>
      <c r="P55" s="113">
        <v>1179.3499999999999</v>
      </c>
      <c r="Q55" s="113">
        <v>0.15176200000000001</v>
      </c>
      <c r="R55" s="113">
        <v>6.5892499999999998</v>
      </c>
      <c r="S55" s="113">
        <v>0.43542700000000001</v>
      </c>
      <c r="T55" s="113">
        <v>1.2016100000000001</v>
      </c>
      <c r="U55" s="113">
        <v>1.6370400000000001</v>
      </c>
      <c r="V55" s="113">
        <v>0.41562100000000002</v>
      </c>
      <c r="W55" s="113">
        <v>0.56789500000000004</v>
      </c>
      <c r="X55" s="113">
        <v>1616.33</v>
      </c>
      <c r="Y55" s="114">
        <v>9.3590999999999999E-6</v>
      </c>
      <c r="Z55" s="113">
        <v>1.30301</v>
      </c>
      <c r="AA55" s="112">
        <v>0.958291</v>
      </c>
    </row>
    <row r="56" spans="1:27" ht="13.8" thickBot="1" x14ac:dyDescent="0.3">
      <c r="A56" s="32">
        <v>145</v>
      </c>
      <c r="B56" s="33">
        <v>363.4</v>
      </c>
      <c r="C56" s="34">
        <v>335.9</v>
      </c>
      <c r="D56" s="35">
        <v>859.1</v>
      </c>
      <c r="E56" s="35">
        <v>1195.0999999999999</v>
      </c>
      <c r="F56" s="36">
        <v>1.8149999999999999E-2</v>
      </c>
      <c r="G56" s="40">
        <v>2.839</v>
      </c>
      <c r="L56" s="119">
        <v>52</v>
      </c>
      <c r="M56" s="110">
        <v>299.66699999999997</v>
      </c>
      <c r="N56" s="110">
        <v>269.16500000000002</v>
      </c>
      <c r="O56" s="110">
        <v>910.47699999999998</v>
      </c>
      <c r="P56" s="110">
        <v>1179.6400000000001</v>
      </c>
      <c r="Q56" s="110">
        <v>0.15393599999999999</v>
      </c>
      <c r="R56" s="110">
        <v>6.4962200000000001</v>
      </c>
      <c r="S56" s="110">
        <v>0.43678800000000001</v>
      </c>
      <c r="T56" s="110">
        <v>1.1990400000000001</v>
      </c>
      <c r="U56" s="110">
        <v>1.6358299999999999</v>
      </c>
      <c r="V56" s="110">
        <v>0.41630600000000001</v>
      </c>
      <c r="W56" s="110">
        <v>0.56905300000000003</v>
      </c>
      <c r="X56" s="110">
        <v>1616.93</v>
      </c>
      <c r="Y56" s="111">
        <v>9.3720699999999992E-6</v>
      </c>
      <c r="Z56" s="110">
        <v>1.3028500000000001</v>
      </c>
      <c r="AA56" s="109">
        <v>0.95787199999999995</v>
      </c>
    </row>
    <row r="57" spans="1:27" x14ac:dyDescent="0.25">
      <c r="A57" s="25">
        <v>150</v>
      </c>
      <c r="B57" s="26">
        <v>365.9</v>
      </c>
      <c r="C57" s="27">
        <v>338.6</v>
      </c>
      <c r="D57" s="28">
        <v>857</v>
      </c>
      <c r="E57" s="28">
        <v>1195.5999999999999</v>
      </c>
      <c r="F57" s="22">
        <v>1.8180000000000002E-2</v>
      </c>
      <c r="G57" s="29">
        <v>2.7559999999999998</v>
      </c>
      <c r="L57" s="120">
        <v>53</v>
      </c>
      <c r="M57" s="113">
        <v>300.661</v>
      </c>
      <c r="N57" s="113">
        <v>270.18900000000002</v>
      </c>
      <c r="O57" s="113">
        <v>909.74099999999999</v>
      </c>
      <c r="P57" s="113">
        <v>1179.93</v>
      </c>
      <c r="Q57" s="113">
        <v>0.156107</v>
      </c>
      <c r="R57" s="113">
        <v>6.40585</v>
      </c>
      <c r="S57" s="113">
        <v>0.43813099999999999</v>
      </c>
      <c r="T57" s="113">
        <v>1.19651</v>
      </c>
      <c r="U57" s="113">
        <v>1.6346400000000001</v>
      </c>
      <c r="V57" s="113">
        <v>0.416987</v>
      </c>
      <c r="W57" s="113">
        <v>0.57020599999999999</v>
      </c>
      <c r="X57" s="113">
        <v>1617.53</v>
      </c>
      <c r="Y57" s="114">
        <v>9.3848700000000002E-6</v>
      </c>
      <c r="Z57" s="113">
        <v>1.3026800000000001</v>
      </c>
      <c r="AA57" s="112">
        <v>0.95745499999999995</v>
      </c>
    </row>
    <row r="58" spans="1:27" x14ac:dyDescent="0.25">
      <c r="A58" s="25">
        <v>155</v>
      </c>
      <c r="B58" s="26">
        <v>368.3</v>
      </c>
      <c r="C58" s="27">
        <v>341.1</v>
      </c>
      <c r="D58" s="28">
        <v>854.9</v>
      </c>
      <c r="E58" s="28">
        <v>1196</v>
      </c>
      <c r="F58" s="22">
        <v>1.821E-2</v>
      </c>
      <c r="G58" s="29">
        <v>2.6779999999999999</v>
      </c>
      <c r="L58" s="119">
        <v>54</v>
      </c>
      <c r="M58" s="110">
        <v>301.64299999999997</v>
      </c>
      <c r="N58" s="110">
        <v>271.20100000000002</v>
      </c>
      <c r="O58" s="110">
        <v>909.01199999999994</v>
      </c>
      <c r="P58" s="110">
        <v>1180.21</v>
      </c>
      <c r="Q58" s="110">
        <v>0.158278</v>
      </c>
      <c r="R58" s="110">
        <v>6.3180100000000001</v>
      </c>
      <c r="S58" s="110">
        <v>0.43945699999999999</v>
      </c>
      <c r="T58" s="110">
        <v>1.19401</v>
      </c>
      <c r="U58" s="110">
        <v>1.6334599999999999</v>
      </c>
      <c r="V58" s="110">
        <v>0.41766399999999998</v>
      </c>
      <c r="W58" s="110">
        <v>0.57135400000000003</v>
      </c>
      <c r="X58" s="110">
        <v>1618.11</v>
      </c>
      <c r="Y58" s="111">
        <v>9.3975299999999998E-6</v>
      </c>
      <c r="Z58" s="110">
        <v>1.3025199999999999</v>
      </c>
      <c r="AA58" s="109">
        <v>0.95704</v>
      </c>
    </row>
    <row r="59" spans="1:27" x14ac:dyDescent="0.25">
      <c r="A59" s="25">
        <v>160</v>
      </c>
      <c r="B59" s="26">
        <v>370.6</v>
      </c>
      <c r="C59" s="27">
        <v>343.6</v>
      </c>
      <c r="D59" s="28">
        <v>852.8</v>
      </c>
      <c r="E59" s="28">
        <v>1196.4000000000001</v>
      </c>
      <c r="F59" s="22">
        <v>1.8239999999999999E-2</v>
      </c>
      <c r="G59" s="29">
        <v>2.605</v>
      </c>
      <c r="L59" s="120">
        <v>55</v>
      </c>
      <c r="M59" s="113">
        <v>302.61399999999998</v>
      </c>
      <c r="N59" s="113">
        <v>272.202</v>
      </c>
      <c r="O59" s="113">
        <v>908.29</v>
      </c>
      <c r="P59" s="113">
        <v>1180.49</v>
      </c>
      <c r="Q59" s="113">
        <v>0.16044600000000001</v>
      </c>
      <c r="R59" s="113">
        <v>6.2326100000000002</v>
      </c>
      <c r="S59" s="113">
        <v>0.44076599999999999</v>
      </c>
      <c r="T59" s="113">
        <v>1.19154</v>
      </c>
      <c r="U59" s="113">
        <v>1.6323000000000001</v>
      </c>
      <c r="V59" s="113">
        <v>0.41833700000000001</v>
      </c>
      <c r="W59" s="113">
        <v>0.572496</v>
      </c>
      <c r="X59" s="113">
        <v>1618.68</v>
      </c>
      <c r="Y59" s="114">
        <v>9.4100400000000008E-6</v>
      </c>
      <c r="Z59" s="113">
        <v>1.30236</v>
      </c>
      <c r="AA59" s="112">
        <v>0.95662700000000001</v>
      </c>
    </row>
    <row r="60" spans="1:27" x14ac:dyDescent="0.25">
      <c r="A60" s="25">
        <v>165</v>
      </c>
      <c r="B60" s="26">
        <v>372.9</v>
      </c>
      <c r="C60" s="27">
        <v>346.1</v>
      </c>
      <c r="D60" s="28">
        <v>850.8</v>
      </c>
      <c r="E60" s="28">
        <v>1196.9000000000001</v>
      </c>
      <c r="F60" s="22">
        <v>1.8270000000000002E-2</v>
      </c>
      <c r="G60" s="29">
        <v>2.5350000000000001</v>
      </c>
      <c r="L60" s="119">
        <v>56</v>
      </c>
      <c r="M60" s="110">
        <v>303.57400000000001</v>
      </c>
      <c r="N60" s="110">
        <v>273.19099999999997</v>
      </c>
      <c r="O60" s="110">
        <v>907.57500000000005</v>
      </c>
      <c r="P60" s="110">
        <v>1180.77</v>
      </c>
      <c r="Q60" s="110">
        <v>0.16261400000000001</v>
      </c>
      <c r="R60" s="110">
        <v>6.1495499999999996</v>
      </c>
      <c r="S60" s="110">
        <v>0.44205899999999998</v>
      </c>
      <c r="T60" s="110">
        <v>1.1891</v>
      </c>
      <c r="U60" s="110">
        <v>1.6311599999999999</v>
      </c>
      <c r="V60" s="110">
        <v>0.41900500000000002</v>
      </c>
      <c r="W60" s="110">
        <v>0.57363299999999995</v>
      </c>
      <c r="X60" s="110">
        <v>1619.25</v>
      </c>
      <c r="Y60" s="111">
        <v>9.4223999999999998E-6</v>
      </c>
      <c r="Z60" s="110">
        <v>1.3022</v>
      </c>
      <c r="AA60" s="109">
        <v>0.95621599999999995</v>
      </c>
    </row>
    <row r="61" spans="1:27" x14ac:dyDescent="0.25">
      <c r="A61" s="25">
        <v>170</v>
      </c>
      <c r="B61" s="26">
        <v>375.2</v>
      </c>
      <c r="C61" s="27">
        <v>348.5</v>
      </c>
      <c r="D61" s="28">
        <v>848.8</v>
      </c>
      <c r="E61" s="28">
        <v>1197.3</v>
      </c>
      <c r="F61" s="22">
        <v>1.83E-2</v>
      </c>
      <c r="G61" s="29">
        <v>2.4689999999999999</v>
      </c>
      <c r="L61" s="120">
        <v>57</v>
      </c>
      <c r="M61" s="113">
        <v>304.52300000000002</v>
      </c>
      <c r="N61" s="113">
        <v>274.17</v>
      </c>
      <c r="O61" s="113">
        <v>906.86599999999999</v>
      </c>
      <c r="P61" s="113">
        <v>1181.04</v>
      </c>
      <c r="Q61" s="113">
        <v>0.16477900000000001</v>
      </c>
      <c r="R61" s="113">
        <v>6.0687199999999999</v>
      </c>
      <c r="S61" s="113">
        <v>0.44333600000000001</v>
      </c>
      <c r="T61" s="113">
        <v>1.1867000000000001</v>
      </c>
      <c r="U61" s="113">
        <v>1.6300300000000001</v>
      </c>
      <c r="V61" s="113">
        <v>0.41966900000000001</v>
      </c>
      <c r="W61" s="113">
        <v>0.57476499999999997</v>
      </c>
      <c r="X61" s="113">
        <v>1619.8</v>
      </c>
      <c r="Y61" s="114">
        <v>9.4346200000000008E-6</v>
      </c>
      <c r="Z61" s="113">
        <v>1.3020400000000001</v>
      </c>
      <c r="AA61" s="112">
        <v>0.95580699999999996</v>
      </c>
    </row>
    <row r="62" spans="1:27" x14ac:dyDescent="0.25">
      <c r="A62" s="25">
        <v>175</v>
      </c>
      <c r="B62" s="26">
        <v>377.4</v>
      </c>
      <c r="C62" s="27">
        <v>350.8</v>
      </c>
      <c r="D62" s="28">
        <v>846.8</v>
      </c>
      <c r="E62" s="28">
        <v>1197.5999999999999</v>
      </c>
      <c r="F62" s="22">
        <v>1.8329999999999999E-2</v>
      </c>
      <c r="G62" s="29">
        <v>2.407</v>
      </c>
      <c r="L62" s="119">
        <v>58</v>
      </c>
      <c r="M62" s="110">
        <v>305.46100000000001</v>
      </c>
      <c r="N62" s="110">
        <v>275.13799999999998</v>
      </c>
      <c r="O62" s="110">
        <v>906.16300000000001</v>
      </c>
      <c r="P62" s="110">
        <v>1181.3</v>
      </c>
      <c r="Q62" s="110">
        <v>0.16694400000000001</v>
      </c>
      <c r="R62" s="110">
        <v>5.99003</v>
      </c>
      <c r="S62" s="110">
        <v>0.44459799999999999</v>
      </c>
      <c r="T62" s="110">
        <v>1.18432</v>
      </c>
      <c r="U62" s="110">
        <v>1.6289199999999999</v>
      </c>
      <c r="V62" s="110">
        <v>0.42032999999999998</v>
      </c>
      <c r="W62" s="110">
        <v>0.57589199999999996</v>
      </c>
      <c r="X62" s="110">
        <v>1620.34</v>
      </c>
      <c r="Y62" s="111">
        <v>9.4467099999999995E-6</v>
      </c>
      <c r="Z62" s="110">
        <v>1.3018799999999999</v>
      </c>
      <c r="AA62" s="109">
        <v>0.95540000000000003</v>
      </c>
    </row>
    <row r="63" spans="1:27" ht="13.8" thickBot="1" x14ac:dyDescent="0.3">
      <c r="A63" s="25">
        <v>180</v>
      </c>
      <c r="B63" s="26">
        <v>379.6</v>
      </c>
      <c r="C63" s="27">
        <v>353.1</v>
      </c>
      <c r="D63" s="28">
        <v>844.9</v>
      </c>
      <c r="E63" s="28">
        <v>1198</v>
      </c>
      <c r="F63" s="22">
        <v>1.8350000000000002E-2</v>
      </c>
      <c r="G63" s="29">
        <v>2.347</v>
      </c>
      <c r="L63" s="121">
        <v>59</v>
      </c>
      <c r="M63" s="122">
        <v>306.38900000000001</v>
      </c>
      <c r="N63" s="122">
        <v>276.096</v>
      </c>
      <c r="O63" s="122">
        <v>905.46699999999998</v>
      </c>
      <c r="P63" s="122">
        <v>1181.56</v>
      </c>
      <c r="Q63" s="122">
        <v>0.16910700000000001</v>
      </c>
      <c r="R63" s="122">
        <v>5.9134200000000003</v>
      </c>
      <c r="S63" s="122">
        <v>0.44584499999999999</v>
      </c>
      <c r="T63" s="122">
        <v>1.18198</v>
      </c>
      <c r="U63" s="122">
        <v>1.6278300000000001</v>
      </c>
      <c r="V63" s="122">
        <v>0.42098600000000003</v>
      </c>
      <c r="W63" s="122">
        <v>0.577013</v>
      </c>
      <c r="X63" s="122">
        <v>1620.88</v>
      </c>
      <c r="Y63" s="123">
        <v>9.4586699999999993E-6</v>
      </c>
      <c r="Z63" s="122">
        <v>1.30172</v>
      </c>
      <c r="AA63" s="124">
        <v>0.95499500000000004</v>
      </c>
    </row>
    <row r="64" spans="1:27" x14ac:dyDescent="0.25">
      <c r="A64" s="25">
        <v>185</v>
      </c>
      <c r="B64" s="26">
        <v>381.7</v>
      </c>
      <c r="C64" s="27">
        <v>355.4</v>
      </c>
      <c r="D64" s="28">
        <v>842.9</v>
      </c>
      <c r="E64" s="28">
        <v>1198.3</v>
      </c>
      <c r="F64" s="22">
        <v>1.839E-2</v>
      </c>
      <c r="G64" s="29">
        <v>2.2909999999999999</v>
      </c>
      <c r="L64" s="125">
        <v>60</v>
      </c>
      <c r="M64" s="126">
        <v>307.30799999999999</v>
      </c>
      <c r="N64" s="126">
        <v>277.04300000000001</v>
      </c>
      <c r="O64" s="126">
        <v>904.77700000000004</v>
      </c>
      <c r="P64" s="126">
        <v>1181.82</v>
      </c>
      <c r="Q64" s="126">
        <v>0.171269</v>
      </c>
      <c r="R64" s="126">
        <v>5.8387799999999999</v>
      </c>
      <c r="S64" s="126">
        <v>0.44707799999999998</v>
      </c>
      <c r="T64" s="126">
        <v>1.17967</v>
      </c>
      <c r="U64" s="126">
        <v>1.6267400000000001</v>
      </c>
      <c r="V64" s="126">
        <v>0.42163899999999999</v>
      </c>
      <c r="W64" s="126">
        <v>0.57813000000000003</v>
      </c>
      <c r="X64" s="126">
        <v>1621.4</v>
      </c>
      <c r="Y64" s="127">
        <v>9.4704899999999995E-6</v>
      </c>
      <c r="Z64" s="126">
        <v>1.3015699999999999</v>
      </c>
      <c r="AA64" s="128">
        <v>0.954592</v>
      </c>
    </row>
    <row r="65" spans="1:27" x14ac:dyDescent="0.25">
      <c r="A65" s="25">
        <v>190</v>
      </c>
      <c r="B65" s="26">
        <v>383.8</v>
      </c>
      <c r="C65" s="27">
        <v>357.6</v>
      </c>
      <c r="D65" s="28">
        <v>841</v>
      </c>
      <c r="E65" s="28">
        <v>1198.5999999999999</v>
      </c>
      <c r="F65" s="22">
        <v>1.8409999999999999E-2</v>
      </c>
      <c r="G65" s="29">
        <v>2.2370000000000001</v>
      </c>
      <c r="L65" s="120">
        <v>61</v>
      </c>
      <c r="M65" s="113">
        <v>308.21600000000001</v>
      </c>
      <c r="N65" s="113">
        <v>277.98099999999999</v>
      </c>
      <c r="O65" s="113">
        <v>904.09299999999996</v>
      </c>
      <c r="P65" s="113">
        <v>1182.07</v>
      </c>
      <c r="Q65" s="113">
        <v>0.173429</v>
      </c>
      <c r="R65" s="113">
        <v>5.7660400000000003</v>
      </c>
      <c r="S65" s="113">
        <v>0.44829599999999997</v>
      </c>
      <c r="T65" s="113">
        <v>1.1773800000000001</v>
      </c>
      <c r="U65" s="113">
        <v>1.6256699999999999</v>
      </c>
      <c r="V65" s="113">
        <v>0.422288</v>
      </c>
      <c r="W65" s="113">
        <v>0.57924200000000003</v>
      </c>
      <c r="X65" s="113">
        <v>1621.91</v>
      </c>
      <c r="Y65" s="114">
        <v>9.4821899999999998E-6</v>
      </c>
      <c r="Z65" s="113">
        <v>1.30142</v>
      </c>
      <c r="AA65" s="112">
        <v>0.95419100000000001</v>
      </c>
    </row>
    <row r="66" spans="1:27" ht="13.8" thickBot="1" x14ac:dyDescent="0.3">
      <c r="A66" s="38">
        <v>195</v>
      </c>
      <c r="B66" s="33">
        <v>385.8</v>
      </c>
      <c r="C66" s="34">
        <v>359.8</v>
      </c>
      <c r="D66" s="35">
        <v>839.2</v>
      </c>
      <c r="E66" s="35">
        <v>1199</v>
      </c>
      <c r="F66" s="36">
        <v>1.8440000000000002E-2</v>
      </c>
      <c r="G66" s="39">
        <v>2.1850000000000001</v>
      </c>
      <c r="L66" s="119">
        <v>62</v>
      </c>
      <c r="M66" s="110">
        <v>309.11500000000001</v>
      </c>
      <c r="N66" s="110">
        <v>278.91000000000003</v>
      </c>
      <c r="O66" s="110">
        <v>903.41399999999999</v>
      </c>
      <c r="P66" s="110">
        <v>1182.32</v>
      </c>
      <c r="Q66" s="110">
        <v>0.17558799999999999</v>
      </c>
      <c r="R66" s="110">
        <v>5.6951400000000003</v>
      </c>
      <c r="S66" s="110">
        <v>0.44950000000000001</v>
      </c>
      <c r="T66" s="110">
        <v>1.1751199999999999</v>
      </c>
      <c r="U66" s="110">
        <v>1.62462</v>
      </c>
      <c r="V66" s="110">
        <v>0.422933</v>
      </c>
      <c r="W66" s="110">
        <v>0.580349</v>
      </c>
      <c r="X66" s="110">
        <v>1622.42</v>
      </c>
      <c r="Y66" s="111">
        <v>9.4937599999999994E-6</v>
      </c>
      <c r="Z66" s="110">
        <v>1.3012699999999999</v>
      </c>
      <c r="AA66" s="109">
        <v>0.95379100000000006</v>
      </c>
    </row>
    <row r="67" spans="1:27" x14ac:dyDescent="0.25">
      <c r="A67" s="25">
        <v>200</v>
      </c>
      <c r="B67" s="26">
        <v>387.8</v>
      </c>
      <c r="C67" s="27">
        <v>362</v>
      </c>
      <c r="D67" s="28">
        <v>837.3</v>
      </c>
      <c r="E67" s="28">
        <v>1199.3</v>
      </c>
      <c r="F67" s="22">
        <v>1.847E-2</v>
      </c>
      <c r="G67" s="29">
        <v>2.1360000000000001</v>
      </c>
      <c r="L67" s="120">
        <v>63</v>
      </c>
      <c r="M67" s="113">
        <v>310.00400000000002</v>
      </c>
      <c r="N67" s="113">
        <v>279.82900000000001</v>
      </c>
      <c r="O67" s="113">
        <v>902.74099999999999</v>
      </c>
      <c r="P67" s="113">
        <v>1182.57</v>
      </c>
      <c r="Q67" s="113">
        <v>0.17774599999999999</v>
      </c>
      <c r="R67" s="113">
        <v>5.6259899999999998</v>
      </c>
      <c r="S67" s="113">
        <v>0.45069100000000001</v>
      </c>
      <c r="T67" s="113">
        <v>1.17289</v>
      </c>
      <c r="U67" s="113">
        <v>1.62358</v>
      </c>
      <c r="V67" s="113">
        <v>0.42357400000000001</v>
      </c>
      <c r="W67" s="113">
        <v>0.58145199999999997</v>
      </c>
      <c r="X67" s="113">
        <v>1622.92</v>
      </c>
      <c r="Y67" s="114">
        <v>9.5052199999999998E-6</v>
      </c>
      <c r="Z67" s="113">
        <v>1.30111</v>
      </c>
      <c r="AA67" s="112">
        <v>0.95339300000000005</v>
      </c>
    </row>
    <row r="68" spans="1:27" x14ac:dyDescent="0.25">
      <c r="A68" s="25">
        <v>205</v>
      </c>
      <c r="B68" s="26">
        <v>389.8</v>
      </c>
      <c r="C68" s="27">
        <v>364.1</v>
      </c>
      <c r="D68" s="28">
        <v>835.5</v>
      </c>
      <c r="E68" s="28">
        <v>1199.5999999999999</v>
      </c>
      <c r="F68" s="22">
        <v>1.8499999999999999E-2</v>
      </c>
      <c r="G68" s="29">
        <v>2.089</v>
      </c>
      <c r="L68" s="119">
        <v>64</v>
      </c>
      <c r="M68" s="110">
        <v>310.88400000000001</v>
      </c>
      <c r="N68" s="110">
        <v>280.73899999999998</v>
      </c>
      <c r="O68" s="110">
        <v>902.07399999999996</v>
      </c>
      <c r="P68" s="110">
        <v>1182.81</v>
      </c>
      <c r="Q68" s="110">
        <v>0.17990300000000001</v>
      </c>
      <c r="R68" s="110">
        <v>5.5585500000000003</v>
      </c>
      <c r="S68" s="110">
        <v>0.45186799999999999</v>
      </c>
      <c r="T68" s="110">
        <v>1.1706799999999999</v>
      </c>
      <c r="U68" s="110">
        <v>1.6225499999999999</v>
      </c>
      <c r="V68" s="110">
        <v>0.42421199999999998</v>
      </c>
      <c r="W68" s="110">
        <v>0.58254899999999998</v>
      </c>
      <c r="X68" s="110">
        <v>1623.4</v>
      </c>
      <c r="Y68" s="111">
        <v>9.5165499999999995E-6</v>
      </c>
      <c r="Z68" s="110">
        <v>1.30097</v>
      </c>
      <c r="AA68" s="109">
        <v>0.95299699999999998</v>
      </c>
    </row>
    <row r="69" spans="1:27" x14ac:dyDescent="0.25">
      <c r="A69" s="25">
        <v>210</v>
      </c>
      <c r="B69" s="26">
        <v>391.7</v>
      </c>
      <c r="C69" s="27">
        <v>366.1</v>
      </c>
      <c r="D69" s="28">
        <v>833.7</v>
      </c>
      <c r="E69" s="28">
        <v>1199.8</v>
      </c>
      <c r="F69" s="22">
        <v>1.8519999999999998E-2</v>
      </c>
      <c r="G69" s="29">
        <v>2.044</v>
      </c>
      <c r="L69" s="120">
        <v>65</v>
      </c>
      <c r="M69" s="113">
        <v>311.75599999999997</v>
      </c>
      <c r="N69" s="113">
        <v>281.64</v>
      </c>
      <c r="O69" s="113">
        <v>901.41200000000003</v>
      </c>
      <c r="P69" s="113">
        <v>1183.05</v>
      </c>
      <c r="Q69" s="113">
        <v>0.182059</v>
      </c>
      <c r="R69" s="113">
        <v>5.4927299999999999</v>
      </c>
      <c r="S69" s="113">
        <v>0.45303300000000002</v>
      </c>
      <c r="T69" s="113">
        <v>1.1685000000000001</v>
      </c>
      <c r="U69" s="113">
        <v>1.6215299999999999</v>
      </c>
      <c r="V69" s="113">
        <v>0.42484699999999997</v>
      </c>
      <c r="W69" s="113">
        <v>0.58364300000000002</v>
      </c>
      <c r="X69" s="113">
        <v>1623.88</v>
      </c>
      <c r="Y69" s="114">
        <v>9.5277700000000001E-6</v>
      </c>
      <c r="Z69" s="113">
        <v>1.3008200000000001</v>
      </c>
      <c r="AA69" s="112">
        <v>0.95260299999999998</v>
      </c>
    </row>
    <row r="70" spans="1:27" x14ac:dyDescent="0.25">
      <c r="A70" s="25">
        <v>215</v>
      </c>
      <c r="B70" s="26">
        <v>393.6</v>
      </c>
      <c r="C70" s="27">
        <v>368.2</v>
      </c>
      <c r="D70" s="28">
        <v>831.9</v>
      </c>
      <c r="E70" s="28">
        <v>1200.0999999999999</v>
      </c>
      <c r="F70" s="22">
        <v>1.8550000000000001E-2</v>
      </c>
      <c r="G70" s="29">
        <v>2.0009999999999999</v>
      </c>
      <c r="L70" s="119">
        <v>66</v>
      </c>
      <c r="M70" s="110">
        <v>312.61900000000003</v>
      </c>
      <c r="N70" s="110">
        <v>282.53300000000002</v>
      </c>
      <c r="O70" s="110">
        <v>900.75599999999997</v>
      </c>
      <c r="P70" s="110">
        <v>1183.29</v>
      </c>
      <c r="Q70" s="110">
        <v>0.18421299999999999</v>
      </c>
      <c r="R70" s="110">
        <v>5.42849</v>
      </c>
      <c r="S70" s="110">
        <v>0.45418500000000001</v>
      </c>
      <c r="T70" s="110">
        <v>1.16635</v>
      </c>
      <c r="U70" s="110">
        <v>1.62053</v>
      </c>
      <c r="V70" s="110">
        <v>0.42547699999999999</v>
      </c>
      <c r="W70" s="110">
        <v>0.58473200000000003</v>
      </c>
      <c r="X70" s="110">
        <v>1624.36</v>
      </c>
      <c r="Y70" s="111">
        <v>9.5388799999999997E-6</v>
      </c>
      <c r="Z70" s="110">
        <v>1.30067</v>
      </c>
      <c r="AA70" s="109">
        <v>0.95221</v>
      </c>
    </row>
    <row r="71" spans="1:27" x14ac:dyDescent="0.25">
      <c r="A71" s="25">
        <v>220</v>
      </c>
      <c r="B71" s="26">
        <v>395.4</v>
      </c>
      <c r="C71" s="27">
        <v>370.2</v>
      </c>
      <c r="D71" s="28">
        <v>830.2</v>
      </c>
      <c r="E71" s="28">
        <v>1200.4000000000001</v>
      </c>
      <c r="F71" s="22">
        <v>1.857E-2</v>
      </c>
      <c r="G71" s="29">
        <v>1.96</v>
      </c>
      <c r="L71" s="120">
        <v>67</v>
      </c>
      <c r="M71" s="113">
        <v>313.47300000000001</v>
      </c>
      <c r="N71" s="113">
        <v>283.41699999999997</v>
      </c>
      <c r="O71" s="113">
        <v>900.10500000000002</v>
      </c>
      <c r="P71" s="113">
        <v>1183.52</v>
      </c>
      <c r="Q71" s="113">
        <v>0.186366</v>
      </c>
      <c r="R71" s="113">
        <v>5.3657700000000004</v>
      </c>
      <c r="S71" s="113">
        <v>0.45532499999999998</v>
      </c>
      <c r="T71" s="113">
        <v>1.16421</v>
      </c>
      <c r="U71" s="113">
        <v>1.61954</v>
      </c>
      <c r="V71" s="113">
        <v>0.42610399999999998</v>
      </c>
      <c r="W71" s="113">
        <v>0.585816</v>
      </c>
      <c r="X71" s="113">
        <v>1624.82</v>
      </c>
      <c r="Y71" s="114">
        <v>9.5498800000000001E-6</v>
      </c>
      <c r="Z71" s="113">
        <v>1.30053</v>
      </c>
      <c r="AA71" s="112">
        <v>0.95182</v>
      </c>
    </row>
    <row r="72" spans="1:27" x14ac:dyDescent="0.25">
      <c r="A72" s="25">
        <v>225</v>
      </c>
      <c r="B72" s="26">
        <v>397.3</v>
      </c>
      <c r="C72" s="27">
        <v>372.2</v>
      </c>
      <c r="D72" s="28">
        <v>828.5</v>
      </c>
      <c r="E72" s="28">
        <v>1200.7</v>
      </c>
      <c r="F72" s="22">
        <v>1.8599999999999998E-2</v>
      </c>
      <c r="G72" s="29">
        <v>1.92</v>
      </c>
      <c r="L72" s="119">
        <v>68</v>
      </c>
      <c r="M72" s="110">
        <v>314.31900000000002</v>
      </c>
      <c r="N72" s="110">
        <v>284.29300000000001</v>
      </c>
      <c r="O72" s="110">
        <v>899.45799999999997</v>
      </c>
      <c r="P72" s="110">
        <v>1183.75</v>
      </c>
      <c r="Q72" s="110">
        <v>0.18851899999999999</v>
      </c>
      <c r="R72" s="110">
        <v>5.3045200000000001</v>
      </c>
      <c r="S72" s="110">
        <v>0.456453</v>
      </c>
      <c r="T72" s="110">
        <v>1.16211</v>
      </c>
      <c r="U72" s="110">
        <v>1.61856</v>
      </c>
      <c r="V72" s="110">
        <v>0.426728</v>
      </c>
      <c r="W72" s="110">
        <v>0.58689599999999997</v>
      </c>
      <c r="X72" s="110">
        <v>1625.28</v>
      </c>
      <c r="Y72" s="111">
        <v>9.5607699999999996E-6</v>
      </c>
      <c r="Z72" s="110">
        <v>1.3003800000000001</v>
      </c>
      <c r="AA72" s="109">
        <v>0.95143</v>
      </c>
    </row>
    <row r="73" spans="1:27" x14ac:dyDescent="0.25">
      <c r="A73" s="25">
        <v>230</v>
      </c>
      <c r="B73" s="26">
        <v>399.1</v>
      </c>
      <c r="C73" s="27">
        <v>374.1</v>
      </c>
      <c r="D73" s="28">
        <v>826.7</v>
      </c>
      <c r="E73" s="28">
        <v>1200.8</v>
      </c>
      <c r="F73" s="22">
        <v>1.8630000000000001E-2</v>
      </c>
      <c r="G73" s="29">
        <v>1.8819999999999999</v>
      </c>
      <c r="L73" s="120">
        <v>69</v>
      </c>
      <c r="M73" s="113">
        <v>315.15699999999998</v>
      </c>
      <c r="N73" s="113">
        <v>285.16000000000003</v>
      </c>
      <c r="O73" s="113">
        <v>898.81700000000001</v>
      </c>
      <c r="P73" s="113">
        <v>1183.98</v>
      </c>
      <c r="Q73" s="113">
        <v>0.19067000000000001</v>
      </c>
      <c r="R73" s="113">
        <v>5.2446700000000002</v>
      </c>
      <c r="S73" s="113">
        <v>0.457569</v>
      </c>
      <c r="T73" s="113">
        <v>1.1600200000000001</v>
      </c>
      <c r="U73" s="113">
        <v>1.6175900000000001</v>
      </c>
      <c r="V73" s="113">
        <v>0.42734899999999998</v>
      </c>
      <c r="W73" s="113">
        <v>0.58797200000000005</v>
      </c>
      <c r="X73" s="113">
        <v>1625.73</v>
      </c>
      <c r="Y73" s="114">
        <v>9.5715499999999999E-6</v>
      </c>
      <c r="Z73" s="113">
        <v>1.3002400000000001</v>
      </c>
      <c r="AA73" s="112">
        <v>0.95104299999999997</v>
      </c>
    </row>
    <row r="74" spans="1:27" x14ac:dyDescent="0.25">
      <c r="A74" s="25">
        <v>235</v>
      </c>
      <c r="B74" s="26">
        <v>400.9</v>
      </c>
      <c r="C74" s="27">
        <v>376</v>
      </c>
      <c r="D74" s="28">
        <v>825.1</v>
      </c>
      <c r="E74" s="28">
        <v>1201.0999999999999</v>
      </c>
      <c r="F74" s="22">
        <v>1.865E-2</v>
      </c>
      <c r="G74" s="29">
        <v>1.845</v>
      </c>
      <c r="L74" s="119">
        <v>70</v>
      </c>
      <c r="M74" s="110">
        <v>315.98700000000002</v>
      </c>
      <c r="N74" s="110">
        <v>286.02</v>
      </c>
      <c r="O74" s="110">
        <v>898.18100000000004</v>
      </c>
      <c r="P74" s="110">
        <v>1184.2</v>
      </c>
      <c r="Q74" s="110">
        <v>0.19281999999999999</v>
      </c>
      <c r="R74" s="110">
        <v>5.1862000000000004</v>
      </c>
      <c r="S74" s="110">
        <v>0.458673</v>
      </c>
      <c r="T74" s="110">
        <v>1.1579600000000001</v>
      </c>
      <c r="U74" s="110">
        <v>1.61663</v>
      </c>
      <c r="V74" s="110">
        <v>0.42796600000000001</v>
      </c>
      <c r="W74" s="110">
        <v>0.58904299999999998</v>
      </c>
      <c r="X74" s="110">
        <v>1626.17</v>
      </c>
      <c r="Y74" s="111">
        <v>9.5822400000000006E-6</v>
      </c>
      <c r="Z74" s="110">
        <v>1.3001</v>
      </c>
      <c r="AA74" s="109">
        <v>0.95065599999999995</v>
      </c>
    </row>
    <row r="75" spans="1:27" x14ac:dyDescent="0.25">
      <c r="A75" s="25">
        <v>240</v>
      </c>
      <c r="B75" s="26">
        <v>402.6</v>
      </c>
      <c r="C75" s="27">
        <v>377.9</v>
      </c>
      <c r="D75" s="28">
        <v>823.4</v>
      </c>
      <c r="E75" s="28">
        <v>1201.3</v>
      </c>
      <c r="F75" s="22">
        <v>1.8679999999999999E-2</v>
      </c>
      <c r="G75" s="29">
        <v>1.81</v>
      </c>
      <c r="L75" s="120">
        <v>71</v>
      </c>
      <c r="M75" s="113">
        <v>316.80900000000003</v>
      </c>
      <c r="N75" s="113">
        <v>286.87200000000001</v>
      </c>
      <c r="O75" s="113">
        <v>897.54899999999998</v>
      </c>
      <c r="P75" s="113">
        <v>1184.42</v>
      </c>
      <c r="Q75" s="113">
        <v>0.194968</v>
      </c>
      <c r="R75" s="113">
        <v>5.1290300000000002</v>
      </c>
      <c r="S75" s="113">
        <v>0.45976699999999998</v>
      </c>
      <c r="T75" s="113">
        <v>1.1559200000000001</v>
      </c>
      <c r="U75" s="113">
        <v>1.6156900000000001</v>
      </c>
      <c r="V75" s="113">
        <v>0.42858000000000002</v>
      </c>
      <c r="W75" s="113">
        <v>0.59011100000000005</v>
      </c>
      <c r="X75" s="113">
        <v>1626.6</v>
      </c>
      <c r="Y75" s="114">
        <v>9.5928200000000004E-6</v>
      </c>
      <c r="Z75" s="113">
        <v>1.29996</v>
      </c>
      <c r="AA75" s="112">
        <v>0.95027200000000001</v>
      </c>
    </row>
    <row r="76" spans="1:27" ht="13.8" thickBot="1" x14ac:dyDescent="0.3">
      <c r="A76" s="38">
        <v>245</v>
      </c>
      <c r="B76" s="33">
        <v>404.3</v>
      </c>
      <c r="C76" s="34">
        <v>379.8</v>
      </c>
      <c r="D76" s="35">
        <v>821.7</v>
      </c>
      <c r="E76" s="35">
        <v>1201.5</v>
      </c>
      <c r="F76" s="36">
        <v>1.8700000000000001E-2</v>
      </c>
      <c r="G76" s="39">
        <v>1.776</v>
      </c>
      <c r="L76" s="119">
        <v>72</v>
      </c>
      <c r="M76" s="110">
        <v>317.62299999999999</v>
      </c>
      <c r="N76" s="110">
        <v>287.71600000000001</v>
      </c>
      <c r="O76" s="110">
        <v>896.92200000000003</v>
      </c>
      <c r="P76" s="110">
        <v>1184.6400000000001</v>
      </c>
      <c r="Q76" s="110">
        <v>0.19711600000000001</v>
      </c>
      <c r="R76" s="110">
        <v>5.07315</v>
      </c>
      <c r="S76" s="110">
        <v>0.46084900000000001</v>
      </c>
      <c r="T76" s="110">
        <v>1.1538999999999999</v>
      </c>
      <c r="U76" s="110">
        <v>1.6147499999999999</v>
      </c>
      <c r="V76" s="110">
        <v>0.42919000000000002</v>
      </c>
      <c r="W76" s="110">
        <v>0.59117399999999998</v>
      </c>
      <c r="X76" s="110">
        <v>1627.03</v>
      </c>
      <c r="Y76" s="111">
        <v>9.6033E-6</v>
      </c>
      <c r="Z76" s="110">
        <v>1.29982</v>
      </c>
      <c r="AA76" s="109">
        <v>0.94988899999999998</v>
      </c>
    </row>
    <row r="77" spans="1:27" x14ac:dyDescent="0.25">
      <c r="A77" s="25">
        <v>250</v>
      </c>
      <c r="B77" s="26">
        <v>406</v>
      </c>
      <c r="C77" s="27">
        <v>381.6</v>
      </c>
      <c r="D77" s="28">
        <v>820.1</v>
      </c>
      <c r="E77" s="28">
        <v>1201.7</v>
      </c>
      <c r="F77" s="22">
        <v>1.873E-2</v>
      </c>
      <c r="G77" s="29">
        <v>1.744</v>
      </c>
      <c r="L77" s="120">
        <v>73</v>
      </c>
      <c r="M77" s="113">
        <v>318.43</v>
      </c>
      <c r="N77" s="113">
        <v>288.553</v>
      </c>
      <c r="O77" s="113">
        <v>896.29899999999998</v>
      </c>
      <c r="P77" s="113">
        <v>1184.8499999999999</v>
      </c>
      <c r="Q77" s="113">
        <v>0.199263</v>
      </c>
      <c r="R77" s="113">
        <v>5.0184899999999999</v>
      </c>
      <c r="S77" s="113">
        <v>0.46192100000000003</v>
      </c>
      <c r="T77" s="113">
        <v>1.15191</v>
      </c>
      <c r="U77" s="113">
        <v>1.6138300000000001</v>
      </c>
      <c r="V77" s="113">
        <v>0.42979699999999998</v>
      </c>
      <c r="W77" s="113">
        <v>0.59223300000000001</v>
      </c>
      <c r="X77" s="113">
        <v>1627.45</v>
      </c>
      <c r="Y77" s="114">
        <v>9.6136900000000001E-6</v>
      </c>
      <c r="Z77" s="113">
        <v>1.2996799999999999</v>
      </c>
      <c r="AA77" s="112">
        <v>0.94950699999999999</v>
      </c>
    </row>
    <row r="78" spans="1:27" x14ac:dyDescent="0.25">
      <c r="A78" s="25">
        <v>255</v>
      </c>
      <c r="B78" s="26">
        <v>407.7</v>
      </c>
      <c r="C78" s="27">
        <v>383.5</v>
      </c>
      <c r="D78" s="28">
        <v>818.4</v>
      </c>
      <c r="E78" s="28">
        <v>1201.9000000000001</v>
      </c>
      <c r="F78" s="22">
        <v>1.8749999999999999E-2</v>
      </c>
      <c r="G78" s="29">
        <v>1.712</v>
      </c>
      <c r="L78" s="119">
        <v>74</v>
      </c>
      <c r="M78" s="110">
        <v>319.23</v>
      </c>
      <c r="N78" s="110">
        <v>289.38200000000001</v>
      </c>
      <c r="O78" s="110">
        <v>895.68100000000004</v>
      </c>
      <c r="P78" s="110">
        <v>1185.06</v>
      </c>
      <c r="Q78" s="110">
        <v>0.201409</v>
      </c>
      <c r="R78" s="110">
        <v>4.96502</v>
      </c>
      <c r="S78" s="110">
        <v>0.46298299999999998</v>
      </c>
      <c r="T78" s="110">
        <v>1.1499299999999999</v>
      </c>
      <c r="U78" s="110">
        <v>1.6129100000000001</v>
      </c>
      <c r="V78" s="110">
        <v>0.43040099999999998</v>
      </c>
      <c r="W78" s="110">
        <v>0.59328899999999996</v>
      </c>
      <c r="X78" s="110">
        <v>1627.87</v>
      </c>
      <c r="Y78" s="111">
        <v>9.62398E-6</v>
      </c>
      <c r="Z78" s="110">
        <v>1.2995399999999999</v>
      </c>
      <c r="AA78" s="109">
        <v>0.94912700000000005</v>
      </c>
    </row>
    <row r="79" spans="1:27" x14ac:dyDescent="0.25">
      <c r="A79" s="25">
        <v>260</v>
      </c>
      <c r="B79" s="26">
        <v>409.4</v>
      </c>
      <c r="C79" s="27">
        <v>385.3</v>
      </c>
      <c r="D79" s="28">
        <v>816.8</v>
      </c>
      <c r="E79" s="28">
        <v>1202.0999999999999</v>
      </c>
      <c r="F79" s="22">
        <v>1.8780000000000002E-2</v>
      </c>
      <c r="G79" s="29">
        <v>1.6819999999999999</v>
      </c>
      <c r="L79" s="120">
        <v>75</v>
      </c>
      <c r="M79" s="113">
        <v>320.02300000000002</v>
      </c>
      <c r="N79" s="113">
        <v>290.20499999999998</v>
      </c>
      <c r="O79" s="113">
        <v>895.06799999999998</v>
      </c>
      <c r="P79" s="113">
        <v>1185.27</v>
      </c>
      <c r="Q79" s="113">
        <v>0.20355400000000001</v>
      </c>
      <c r="R79" s="113">
        <v>4.9127000000000001</v>
      </c>
      <c r="S79" s="113">
        <v>0.464034</v>
      </c>
      <c r="T79" s="113">
        <v>1.1479699999999999</v>
      </c>
      <c r="U79" s="113">
        <v>1.6120099999999999</v>
      </c>
      <c r="V79" s="113">
        <v>0.431002</v>
      </c>
      <c r="W79" s="113">
        <v>0.59433999999999998</v>
      </c>
      <c r="X79" s="113">
        <v>1628.27</v>
      </c>
      <c r="Y79" s="114">
        <v>9.6341800000000003E-6</v>
      </c>
      <c r="Z79" s="113">
        <v>1.2994000000000001</v>
      </c>
      <c r="AA79" s="112">
        <v>0.94874899999999995</v>
      </c>
    </row>
    <row r="80" spans="1:27" x14ac:dyDescent="0.25">
      <c r="A80" s="25">
        <v>265</v>
      </c>
      <c r="B80" s="26">
        <v>411</v>
      </c>
      <c r="C80" s="27">
        <v>387</v>
      </c>
      <c r="D80" s="28">
        <v>815.2</v>
      </c>
      <c r="E80" s="28">
        <v>1202.2</v>
      </c>
      <c r="F80" s="22">
        <v>1.8800000000000001E-2</v>
      </c>
      <c r="G80" s="29">
        <v>1.6519999999999999</v>
      </c>
      <c r="L80" s="119">
        <v>76</v>
      </c>
      <c r="M80" s="110">
        <v>320.80799999999999</v>
      </c>
      <c r="N80" s="110">
        <v>291.02</v>
      </c>
      <c r="O80" s="110">
        <v>894.45799999999997</v>
      </c>
      <c r="P80" s="110">
        <v>1185.48</v>
      </c>
      <c r="Q80" s="110">
        <v>0.20569799999999999</v>
      </c>
      <c r="R80" s="110">
        <v>4.8614899999999999</v>
      </c>
      <c r="S80" s="110">
        <v>0.46507399999999999</v>
      </c>
      <c r="T80" s="110">
        <v>1.1460399999999999</v>
      </c>
      <c r="U80" s="110">
        <v>1.61111</v>
      </c>
      <c r="V80" s="110">
        <v>0.43159999999999998</v>
      </c>
      <c r="W80" s="110">
        <v>0.595387</v>
      </c>
      <c r="X80" s="110">
        <v>1628.68</v>
      </c>
      <c r="Y80" s="111">
        <v>9.6442899999999994E-6</v>
      </c>
      <c r="Z80" s="110">
        <v>1.2992699999999999</v>
      </c>
      <c r="AA80" s="109">
        <v>0.94837199999999999</v>
      </c>
    </row>
    <row r="81" spans="1:27" x14ac:dyDescent="0.25">
      <c r="A81" s="25">
        <v>270</v>
      </c>
      <c r="B81" s="26">
        <v>412.6</v>
      </c>
      <c r="C81" s="27">
        <v>388.8</v>
      </c>
      <c r="D81" s="28">
        <v>813.7</v>
      </c>
      <c r="E81" s="28">
        <v>1202.5</v>
      </c>
      <c r="F81" s="22">
        <v>1.882E-2</v>
      </c>
      <c r="G81" s="29">
        <v>1.6240000000000001</v>
      </c>
      <c r="L81" s="120">
        <v>77</v>
      </c>
      <c r="M81" s="113">
        <v>321.58699999999999</v>
      </c>
      <c r="N81" s="113">
        <v>291.82799999999997</v>
      </c>
      <c r="O81" s="113">
        <v>893.85299999999995</v>
      </c>
      <c r="P81" s="113">
        <v>1185.68</v>
      </c>
      <c r="Q81" s="113">
        <v>0.207841</v>
      </c>
      <c r="R81" s="113">
        <v>4.8113700000000001</v>
      </c>
      <c r="S81" s="113">
        <v>0.46610600000000002</v>
      </c>
      <c r="T81" s="113">
        <v>1.14412</v>
      </c>
      <c r="U81" s="113">
        <v>1.6102300000000001</v>
      </c>
      <c r="V81" s="113">
        <v>0.432195</v>
      </c>
      <c r="W81" s="113">
        <v>0.59643100000000004</v>
      </c>
      <c r="X81" s="113">
        <v>1629.07</v>
      </c>
      <c r="Y81" s="114">
        <v>9.6543E-6</v>
      </c>
      <c r="Z81" s="113">
        <v>1.2991299999999999</v>
      </c>
      <c r="AA81" s="112">
        <v>0.94799599999999995</v>
      </c>
    </row>
    <row r="82" spans="1:27" x14ac:dyDescent="0.25">
      <c r="A82" s="25">
        <v>275</v>
      </c>
      <c r="B82" s="26">
        <v>414.2</v>
      </c>
      <c r="C82" s="27">
        <v>390.5</v>
      </c>
      <c r="D82" s="28">
        <v>812.1</v>
      </c>
      <c r="E82" s="28">
        <v>1202.5999999999999</v>
      </c>
      <c r="F82" s="22">
        <v>1.8849999999999999E-2</v>
      </c>
      <c r="G82" s="29">
        <v>1.5960000000000001</v>
      </c>
      <c r="L82" s="119">
        <v>78</v>
      </c>
      <c r="M82" s="110">
        <v>322.35899999999998</v>
      </c>
      <c r="N82" s="110">
        <v>292.63</v>
      </c>
      <c r="O82" s="110">
        <v>893.25199999999995</v>
      </c>
      <c r="P82" s="110">
        <v>1185.8800000000001</v>
      </c>
      <c r="Q82" s="110">
        <v>0.209983</v>
      </c>
      <c r="R82" s="110">
        <v>4.7622900000000001</v>
      </c>
      <c r="S82" s="110">
        <v>0.46712700000000001</v>
      </c>
      <c r="T82" s="110">
        <v>1.14222</v>
      </c>
      <c r="U82" s="110">
        <v>1.6093500000000001</v>
      </c>
      <c r="V82" s="110">
        <v>0.43278699999999998</v>
      </c>
      <c r="W82" s="110">
        <v>0.59747099999999997</v>
      </c>
      <c r="X82" s="110">
        <v>1629.46</v>
      </c>
      <c r="Y82" s="111">
        <v>9.6642400000000008E-6</v>
      </c>
      <c r="Z82" s="110">
        <v>1.2989999999999999</v>
      </c>
      <c r="AA82" s="109">
        <v>0.94762199999999996</v>
      </c>
    </row>
    <row r="83" spans="1:27" ht="13.8" thickBot="1" x14ac:dyDescent="0.3">
      <c r="A83" s="25">
        <v>280</v>
      </c>
      <c r="B83" s="26">
        <v>415.7</v>
      </c>
      <c r="C83" s="27">
        <v>392.2</v>
      </c>
      <c r="D83" s="28">
        <v>810.5</v>
      </c>
      <c r="E83" s="28">
        <v>1202.7</v>
      </c>
      <c r="F83" s="22">
        <v>1.8870000000000001E-2</v>
      </c>
      <c r="G83" s="29">
        <v>1.57</v>
      </c>
      <c r="L83" s="121">
        <v>79</v>
      </c>
      <c r="M83" s="122">
        <v>323.12400000000002</v>
      </c>
      <c r="N83" s="122">
        <v>293.42500000000001</v>
      </c>
      <c r="O83" s="122">
        <v>892.65499999999997</v>
      </c>
      <c r="P83" s="122">
        <v>1186.08</v>
      </c>
      <c r="Q83" s="122">
        <v>0.21212400000000001</v>
      </c>
      <c r="R83" s="122">
        <v>4.7142099999999996</v>
      </c>
      <c r="S83" s="122">
        <v>0.46813900000000003</v>
      </c>
      <c r="T83" s="122">
        <v>1.1403399999999999</v>
      </c>
      <c r="U83" s="122">
        <v>1.6084799999999999</v>
      </c>
      <c r="V83" s="122">
        <v>0.43337599999999998</v>
      </c>
      <c r="W83" s="122">
        <v>0.59850700000000001</v>
      </c>
      <c r="X83" s="122">
        <v>1629.84</v>
      </c>
      <c r="Y83" s="123">
        <v>9.6740799999999997E-6</v>
      </c>
      <c r="Z83" s="122">
        <v>1.29887</v>
      </c>
      <c r="AA83" s="124">
        <v>0.94724900000000001</v>
      </c>
    </row>
    <row r="84" spans="1:27" x14ac:dyDescent="0.25">
      <c r="A84" s="25">
        <v>285</v>
      </c>
      <c r="B84" s="26">
        <v>417.3</v>
      </c>
      <c r="C84" s="27">
        <v>393.9</v>
      </c>
      <c r="D84" s="28">
        <v>809</v>
      </c>
      <c r="E84" s="28">
        <v>1202.9000000000001</v>
      </c>
      <c r="F84" s="22">
        <v>1.8890000000000001E-2</v>
      </c>
      <c r="G84" s="29">
        <v>1.544</v>
      </c>
      <c r="L84" s="125">
        <v>80</v>
      </c>
      <c r="M84" s="126">
        <v>323.88299999999998</v>
      </c>
      <c r="N84" s="126">
        <v>294.214</v>
      </c>
      <c r="O84" s="126">
        <v>892.06200000000001</v>
      </c>
      <c r="P84" s="126">
        <v>1186.28</v>
      </c>
      <c r="Q84" s="126">
        <v>0.21426500000000001</v>
      </c>
      <c r="R84" s="126">
        <v>4.6671199999999997</v>
      </c>
      <c r="S84" s="126">
        <v>0.469142</v>
      </c>
      <c r="T84" s="126">
        <v>1.1384799999999999</v>
      </c>
      <c r="U84" s="126">
        <v>1.6076299999999999</v>
      </c>
      <c r="V84" s="126">
        <v>0.43396200000000001</v>
      </c>
      <c r="W84" s="126">
        <v>0.59953900000000004</v>
      </c>
      <c r="X84" s="126">
        <v>1630.22</v>
      </c>
      <c r="Y84" s="127">
        <v>9.6838500000000005E-6</v>
      </c>
      <c r="Z84" s="126">
        <v>1.29874</v>
      </c>
      <c r="AA84" s="128">
        <v>0.94687699999999997</v>
      </c>
    </row>
    <row r="85" spans="1:27" x14ac:dyDescent="0.25">
      <c r="A85" s="25">
        <v>290</v>
      </c>
      <c r="B85" s="26">
        <v>418.8</v>
      </c>
      <c r="C85" s="27">
        <v>395.5</v>
      </c>
      <c r="D85" s="28">
        <v>807.5</v>
      </c>
      <c r="E85" s="28">
        <v>1203</v>
      </c>
      <c r="F85" s="22">
        <v>1.891E-2</v>
      </c>
      <c r="G85" s="29">
        <v>1.52</v>
      </c>
      <c r="L85" s="120">
        <v>81</v>
      </c>
      <c r="M85" s="113">
        <v>324.63600000000002</v>
      </c>
      <c r="N85" s="113">
        <v>294.99599999999998</v>
      </c>
      <c r="O85" s="113">
        <v>891.47299999999996</v>
      </c>
      <c r="P85" s="113">
        <v>1186.47</v>
      </c>
      <c r="Q85" s="113">
        <v>0.21640400000000001</v>
      </c>
      <c r="R85" s="113">
        <v>4.6209800000000003</v>
      </c>
      <c r="S85" s="113">
        <v>0.470136</v>
      </c>
      <c r="T85" s="113">
        <v>1.1366400000000001</v>
      </c>
      <c r="U85" s="113">
        <v>1.6067800000000001</v>
      </c>
      <c r="V85" s="113">
        <v>0.43454500000000001</v>
      </c>
      <c r="W85" s="113">
        <v>0.60056799999999999</v>
      </c>
      <c r="X85" s="113">
        <v>1630.59</v>
      </c>
      <c r="Y85" s="114">
        <v>9.69353E-6</v>
      </c>
      <c r="Z85" s="113">
        <v>1.29861</v>
      </c>
      <c r="AA85" s="112">
        <v>0.94650699999999999</v>
      </c>
    </row>
    <row r="86" spans="1:27" ht="13.8" thickBot="1" x14ac:dyDescent="0.3">
      <c r="A86" s="38">
        <v>295</v>
      </c>
      <c r="B86" s="33">
        <v>420.2</v>
      </c>
      <c r="C86" s="34">
        <v>397.2</v>
      </c>
      <c r="D86" s="35">
        <v>806</v>
      </c>
      <c r="E86" s="35">
        <v>1203.0999999999999</v>
      </c>
      <c r="F86" s="36">
        <v>1.8939999999999999E-2</v>
      </c>
      <c r="G86" s="39">
        <v>1.4970000000000001</v>
      </c>
      <c r="L86" s="119">
        <v>82</v>
      </c>
      <c r="M86" s="110">
        <v>325.38200000000001</v>
      </c>
      <c r="N86" s="110">
        <v>295.77199999999999</v>
      </c>
      <c r="O86" s="110">
        <v>890.88800000000003</v>
      </c>
      <c r="P86" s="110">
        <v>1186.6600000000001</v>
      </c>
      <c r="Q86" s="110">
        <v>0.21854299999999999</v>
      </c>
      <c r="R86" s="110">
        <v>4.5757599999999998</v>
      </c>
      <c r="S86" s="110">
        <v>0.47111999999999998</v>
      </c>
      <c r="T86" s="110">
        <v>1.1348100000000001</v>
      </c>
      <c r="U86" s="110">
        <v>1.6059300000000001</v>
      </c>
      <c r="V86" s="110">
        <v>0.43512499999999998</v>
      </c>
      <c r="W86" s="110">
        <v>0.60159300000000004</v>
      </c>
      <c r="X86" s="110">
        <v>1630.96</v>
      </c>
      <c r="Y86" s="111">
        <v>9.7031300000000007E-6</v>
      </c>
      <c r="Z86" s="110">
        <v>1.2984800000000001</v>
      </c>
      <c r="AA86" s="109">
        <v>0.94613800000000003</v>
      </c>
    </row>
    <row r="87" spans="1:27" x14ac:dyDescent="0.25">
      <c r="A87" s="25">
        <v>300</v>
      </c>
      <c r="B87" s="26">
        <v>421.7</v>
      </c>
      <c r="C87" s="27">
        <v>398.8</v>
      </c>
      <c r="D87" s="28">
        <v>804.5</v>
      </c>
      <c r="E87" s="28">
        <v>1203.3</v>
      </c>
      <c r="F87" s="22">
        <v>1.8960000000000001E-2</v>
      </c>
      <c r="G87" s="29">
        <v>1.4730000000000001</v>
      </c>
      <c r="L87" s="120">
        <v>83</v>
      </c>
      <c r="M87" s="113">
        <v>326.12200000000001</v>
      </c>
      <c r="N87" s="113">
        <v>296.54199999999997</v>
      </c>
      <c r="O87" s="113">
        <v>890.30700000000002</v>
      </c>
      <c r="P87" s="113">
        <v>1186.8499999999999</v>
      </c>
      <c r="Q87" s="113">
        <v>0.22068099999999999</v>
      </c>
      <c r="R87" s="113">
        <v>4.5314300000000003</v>
      </c>
      <c r="S87" s="113">
        <v>0.47209699999999999</v>
      </c>
      <c r="T87" s="113">
        <v>1.1330100000000001</v>
      </c>
      <c r="U87" s="113">
        <v>1.6051</v>
      </c>
      <c r="V87" s="113">
        <v>0.43570199999999998</v>
      </c>
      <c r="W87" s="113">
        <v>0.60261399999999998</v>
      </c>
      <c r="X87" s="113">
        <v>1631.32</v>
      </c>
      <c r="Y87" s="114">
        <v>9.7126499999999992E-6</v>
      </c>
      <c r="Z87" s="113">
        <v>1.2983499999999999</v>
      </c>
      <c r="AA87" s="112">
        <v>0.94577100000000003</v>
      </c>
    </row>
    <row r="88" spans="1:27" x14ac:dyDescent="0.25">
      <c r="A88" s="25">
        <v>310</v>
      </c>
      <c r="B88" s="26">
        <v>424.6</v>
      </c>
      <c r="C88" s="27">
        <v>402</v>
      </c>
      <c r="D88" s="28">
        <v>801.5</v>
      </c>
      <c r="E88" s="28">
        <v>1203.5</v>
      </c>
      <c r="F88" s="22">
        <v>1.9009999999999999E-2</v>
      </c>
      <c r="G88" s="29">
        <v>1.4279999999999999</v>
      </c>
      <c r="L88" s="119">
        <v>84</v>
      </c>
      <c r="M88" s="110">
        <v>326.85700000000003</v>
      </c>
      <c r="N88" s="110">
        <v>297.30599999999998</v>
      </c>
      <c r="O88" s="110">
        <v>889.72900000000004</v>
      </c>
      <c r="P88" s="110">
        <v>1187.04</v>
      </c>
      <c r="Q88" s="110">
        <v>0.22281799999999999</v>
      </c>
      <c r="R88" s="110">
        <v>4.4879699999999998</v>
      </c>
      <c r="S88" s="110">
        <v>0.47306399999999998</v>
      </c>
      <c r="T88" s="110">
        <v>1.13121</v>
      </c>
      <c r="U88" s="110">
        <v>1.6042799999999999</v>
      </c>
      <c r="V88" s="110">
        <v>0.436276</v>
      </c>
      <c r="W88" s="110">
        <v>0.60363199999999995</v>
      </c>
      <c r="X88" s="110">
        <v>1631.68</v>
      </c>
      <c r="Y88" s="111">
        <v>9.7220900000000006E-6</v>
      </c>
      <c r="Z88" s="110">
        <v>1.2982199999999999</v>
      </c>
      <c r="AA88" s="109">
        <v>0.94540400000000002</v>
      </c>
    </row>
    <row r="89" spans="1:27" x14ac:dyDescent="0.25">
      <c r="A89" s="25">
        <v>320</v>
      </c>
      <c r="B89" s="26">
        <v>427.5</v>
      </c>
      <c r="C89" s="27">
        <v>405.1</v>
      </c>
      <c r="D89" s="28">
        <v>798.6</v>
      </c>
      <c r="E89" s="28">
        <v>1203.7</v>
      </c>
      <c r="F89" s="22">
        <v>1.9060000000000001E-2</v>
      </c>
      <c r="G89" s="29">
        <v>1.3859999999999999</v>
      </c>
      <c r="L89" s="120">
        <v>85</v>
      </c>
      <c r="M89" s="113">
        <v>327.58499999999998</v>
      </c>
      <c r="N89" s="113">
        <v>298.06400000000002</v>
      </c>
      <c r="O89" s="113">
        <v>889.15499999999997</v>
      </c>
      <c r="P89" s="113">
        <v>1187.22</v>
      </c>
      <c r="Q89" s="113">
        <v>0.22495399999999999</v>
      </c>
      <c r="R89" s="113">
        <v>4.4453500000000004</v>
      </c>
      <c r="S89" s="113">
        <v>0.47402300000000003</v>
      </c>
      <c r="T89" s="113">
        <v>1.12944</v>
      </c>
      <c r="U89" s="113">
        <v>1.6034600000000001</v>
      </c>
      <c r="V89" s="113">
        <v>0.43684800000000001</v>
      </c>
      <c r="W89" s="113">
        <v>0.60464700000000005</v>
      </c>
      <c r="X89" s="113">
        <v>1632.03</v>
      </c>
      <c r="Y89" s="114">
        <v>9.7314600000000005E-6</v>
      </c>
      <c r="Z89" s="113">
        <v>1.2981</v>
      </c>
      <c r="AA89" s="112">
        <v>0.94503899999999996</v>
      </c>
    </row>
    <row r="90" spans="1:27" x14ac:dyDescent="0.25">
      <c r="A90" s="25">
        <v>330</v>
      </c>
      <c r="B90" s="26">
        <v>430.3</v>
      </c>
      <c r="C90" s="27">
        <v>408.2</v>
      </c>
      <c r="D90" s="28">
        <v>795.7</v>
      </c>
      <c r="E90" s="28">
        <v>1203.9000000000001</v>
      </c>
      <c r="F90" s="22">
        <v>1.9099999999999999E-2</v>
      </c>
      <c r="G90" s="29">
        <v>1.3460000000000001</v>
      </c>
      <c r="L90" s="119">
        <v>86</v>
      </c>
      <c r="M90" s="110">
        <v>328.30700000000002</v>
      </c>
      <c r="N90" s="110">
        <v>298.81599999999997</v>
      </c>
      <c r="O90" s="110">
        <v>888.58399999999995</v>
      </c>
      <c r="P90" s="110">
        <v>1187.4000000000001</v>
      </c>
      <c r="Q90" s="110">
        <v>0.22708999999999999</v>
      </c>
      <c r="R90" s="110">
        <v>4.4035500000000001</v>
      </c>
      <c r="S90" s="110">
        <v>0.47497400000000001</v>
      </c>
      <c r="T90" s="110">
        <v>1.12768</v>
      </c>
      <c r="U90" s="110">
        <v>1.6026499999999999</v>
      </c>
      <c r="V90" s="110">
        <v>0.437417</v>
      </c>
      <c r="W90" s="110">
        <v>0.60565800000000003</v>
      </c>
      <c r="X90" s="110">
        <v>1632.37</v>
      </c>
      <c r="Y90" s="111">
        <v>9.7407499999999999E-6</v>
      </c>
      <c r="Z90" s="110">
        <v>1.2979700000000001</v>
      </c>
      <c r="AA90" s="109">
        <v>0.94467599999999996</v>
      </c>
    </row>
    <row r="91" spans="1:27" ht="13.8" thickBot="1" x14ac:dyDescent="0.3">
      <c r="A91" s="38">
        <v>340</v>
      </c>
      <c r="B91" s="33">
        <v>433</v>
      </c>
      <c r="C91" s="34">
        <v>411.2</v>
      </c>
      <c r="D91" s="35">
        <v>792.8</v>
      </c>
      <c r="E91" s="35">
        <v>1204</v>
      </c>
      <c r="F91" s="36">
        <v>1.915E-2</v>
      </c>
      <c r="G91" s="39">
        <v>1.3089999999999999</v>
      </c>
      <c r="L91" s="120">
        <v>87</v>
      </c>
      <c r="M91" s="113">
        <v>329.024</v>
      </c>
      <c r="N91" s="113">
        <v>299.56299999999999</v>
      </c>
      <c r="O91" s="113">
        <v>888.01700000000005</v>
      </c>
      <c r="P91" s="113">
        <v>1187.58</v>
      </c>
      <c r="Q91" s="113">
        <v>0.22922400000000001</v>
      </c>
      <c r="R91" s="113">
        <v>4.3625400000000001</v>
      </c>
      <c r="S91" s="113">
        <v>0.47591699999999998</v>
      </c>
      <c r="T91" s="113">
        <v>1.1259300000000001</v>
      </c>
      <c r="U91" s="113">
        <v>1.60185</v>
      </c>
      <c r="V91" s="113">
        <v>0.43798300000000001</v>
      </c>
      <c r="W91" s="113">
        <v>0.60666600000000004</v>
      </c>
      <c r="X91" s="113">
        <v>1632.71</v>
      </c>
      <c r="Y91" s="114">
        <v>9.7499699999999994E-6</v>
      </c>
      <c r="Z91" s="113">
        <v>1.2978499999999999</v>
      </c>
      <c r="AA91" s="112">
        <v>0.94431299999999996</v>
      </c>
    </row>
    <row r="92" spans="1:27" x14ac:dyDescent="0.25">
      <c r="A92" s="25">
        <v>350</v>
      </c>
      <c r="B92" s="26">
        <v>435.6</v>
      </c>
      <c r="C92" s="27">
        <v>414.2</v>
      </c>
      <c r="D92" s="28">
        <v>790</v>
      </c>
      <c r="E92" s="28">
        <v>1204.2</v>
      </c>
      <c r="F92" s="22">
        <v>1.9189999999999999E-2</v>
      </c>
      <c r="G92" s="29">
        <v>1.2729999999999999</v>
      </c>
      <c r="L92" s="119">
        <v>88</v>
      </c>
      <c r="M92" s="110">
        <v>329.73599999999999</v>
      </c>
      <c r="N92" s="110">
        <v>300.30399999999997</v>
      </c>
      <c r="O92" s="110">
        <v>887.45399999999995</v>
      </c>
      <c r="P92" s="110">
        <v>1187.76</v>
      </c>
      <c r="Q92" s="110">
        <v>0.23135800000000001</v>
      </c>
      <c r="R92" s="110">
        <v>4.3223000000000003</v>
      </c>
      <c r="S92" s="110">
        <v>0.476852</v>
      </c>
      <c r="T92" s="110">
        <v>1.1242000000000001</v>
      </c>
      <c r="U92" s="110">
        <v>1.6010599999999999</v>
      </c>
      <c r="V92" s="110">
        <v>0.43854700000000002</v>
      </c>
      <c r="W92" s="110">
        <v>0.60767000000000004</v>
      </c>
      <c r="X92" s="110">
        <v>1633.05</v>
      </c>
      <c r="Y92" s="111">
        <v>9.7591199999999992E-6</v>
      </c>
      <c r="Z92" s="110">
        <v>1.29772</v>
      </c>
      <c r="AA92" s="109">
        <v>0.94395200000000001</v>
      </c>
    </row>
    <row r="93" spans="1:27" x14ac:dyDescent="0.25">
      <c r="A93" s="25">
        <v>360</v>
      </c>
      <c r="B93" s="26">
        <v>438.2</v>
      </c>
      <c r="C93" s="27">
        <v>417.1</v>
      </c>
      <c r="D93" s="28">
        <v>787.3</v>
      </c>
      <c r="E93" s="28">
        <v>1204.3</v>
      </c>
      <c r="F93" s="22">
        <v>1.9230000000000001E-2</v>
      </c>
      <c r="G93" s="29">
        <v>1.24</v>
      </c>
      <c r="L93" s="120">
        <v>89</v>
      </c>
      <c r="M93" s="113">
        <v>330.44099999999997</v>
      </c>
      <c r="N93" s="113">
        <v>301.04000000000002</v>
      </c>
      <c r="O93" s="113">
        <v>886.89300000000003</v>
      </c>
      <c r="P93" s="113">
        <v>1187.93</v>
      </c>
      <c r="Q93" s="113">
        <v>0.233491</v>
      </c>
      <c r="R93" s="113">
        <v>4.2828099999999996</v>
      </c>
      <c r="S93" s="113">
        <v>0.47777900000000001</v>
      </c>
      <c r="T93" s="113">
        <v>1.12249</v>
      </c>
      <c r="U93" s="113">
        <v>1.6002700000000001</v>
      </c>
      <c r="V93" s="113">
        <v>0.43910700000000003</v>
      </c>
      <c r="W93" s="113">
        <v>0.60867099999999996</v>
      </c>
      <c r="X93" s="113">
        <v>1633.38</v>
      </c>
      <c r="Y93" s="114">
        <v>9.7682000000000008E-6</v>
      </c>
      <c r="Z93" s="113">
        <v>1.2976000000000001</v>
      </c>
      <c r="AA93" s="112">
        <v>0.94359199999999999</v>
      </c>
    </row>
    <row r="94" spans="1:27" x14ac:dyDescent="0.25">
      <c r="A94" s="25">
        <v>370</v>
      </c>
      <c r="B94" s="26">
        <v>440.8</v>
      </c>
      <c r="C94" s="27">
        <v>419.9</v>
      </c>
      <c r="D94" s="28">
        <v>784.5</v>
      </c>
      <c r="E94" s="28">
        <v>1204.4000000000001</v>
      </c>
      <c r="F94" s="22">
        <v>1.9269999999999999E-2</v>
      </c>
      <c r="G94" s="29">
        <v>1.2070000000000001</v>
      </c>
      <c r="L94" s="119">
        <v>90</v>
      </c>
      <c r="M94" s="110">
        <v>331.142</v>
      </c>
      <c r="N94" s="110">
        <v>301.77</v>
      </c>
      <c r="O94" s="110">
        <v>886.33699999999999</v>
      </c>
      <c r="P94" s="110">
        <v>1188.1099999999999</v>
      </c>
      <c r="Q94" s="110">
        <v>0.235624</v>
      </c>
      <c r="R94" s="110">
        <v>4.2440499999999997</v>
      </c>
      <c r="S94" s="110">
        <v>0.47869899999999999</v>
      </c>
      <c r="T94" s="110">
        <v>1.12079</v>
      </c>
      <c r="U94" s="110">
        <v>1.5994900000000001</v>
      </c>
      <c r="V94" s="110">
        <v>0.439666</v>
      </c>
      <c r="W94" s="110">
        <v>0.60966900000000002</v>
      </c>
      <c r="X94" s="110">
        <v>1633.71</v>
      </c>
      <c r="Y94" s="111">
        <v>9.7772000000000002E-6</v>
      </c>
      <c r="Z94" s="110">
        <v>1.29748</v>
      </c>
      <c r="AA94" s="109">
        <v>0.94323299999999999</v>
      </c>
    </row>
    <row r="95" spans="1:27" x14ac:dyDescent="0.25">
      <c r="A95" s="25">
        <v>380</v>
      </c>
      <c r="B95" s="26">
        <v>443.3</v>
      </c>
      <c r="C95" s="27">
        <v>422.7</v>
      </c>
      <c r="D95" s="28">
        <v>781.8</v>
      </c>
      <c r="E95" s="28">
        <v>1204.5</v>
      </c>
      <c r="F95" s="22">
        <v>1.932E-2</v>
      </c>
      <c r="G95" s="29">
        <v>1.177</v>
      </c>
      <c r="L95" s="120">
        <v>91</v>
      </c>
      <c r="M95" s="113">
        <v>331.83699999999999</v>
      </c>
      <c r="N95" s="113">
        <v>302.49400000000003</v>
      </c>
      <c r="O95" s="113">
        <v>885.78300000000002</v>
      </c>
      <c r="P95" s="113">
        <v>1188.28</v>
      </c>
      <c r="Q95" s="113">
        <v>0.237756</v>
      </c>
      <c r="R95" s="113">
        <v>4.2060000000000004</v>
      </c>
      <c r="S95" s="113">
        <v>0.47961100000000001</v>
      </c>
      <c r="T95" s="113">
        <v>1.11911</v>
      </c>
      <c r="U95" s="113">
        <v>1.5987199999999999</v>
      </c>
      <c r="V95" s="113">
        <v>0.44022099999999997</v>
      </c>
      <c r="W95" s="113">
        <v>0.61066399999999998</v>
      </c>
      <c r="X95" s="113">
        <v>1634.03</v>
      </c>
      <c r="Y95" s="114">
        <v>9.7861400000000005E-6</v>
      </c>
      <c r="Z95" s="113">
        <v>1.2973600000000001</v>
      </c>
      <c r="AA95" s="112">
        <v>0.94287500000000002</v>
      </c>
    </row>
    <row r="96" spans="1:27" ht="13.8" thickBot="1" x14ac:dyDescent="0.3">
      <c r="A96" s="38">
        <v>390</v>
      </c>
      <c r="B96" s="33">
        <v>445.7</v>
      </c>
      <c r="C96" s="34">
        <v>425.5</v>
      </c>
      <c r="D96" s="35">
        <v>779.2</v>
      </c>
      <c r="E96" s="35">
        <v>1204.5999999999999</v>
      </c>
      <c r="F96" s="36">
        <v>1.9359999999999999E-2</v>
      </c>
      <c r="G96" s="39">
        <v>1.1479999999999999</v>
      </c>
      <c r="L96" s="119">
        <v>92</v>
      </c>
      <c r="M96" s="110">
        <v>332.52699999999999</v>
      </c>
      <c r="N96" s="110">
        <v>303.214</v>
      </c>
      <c r="O96" s="110">
        <v>885.23199999999997</v>
      </c>
      <c r="P96" s="110">
        <v>1188.45</v>
      </c>
      <c r="Q96" s="110">
        <v>0.23988699999999999</v>
      </c>
      <c r="R96" s="110">
        <v>4.1686300000000003</v>
      </c>
      <c r="S96" s="110">
        <v>0.48051500000000003</v>
      </c>
      <c r="T96" s="110">
        <v>1.11744</v>
      </c>
      <c r="U96" s="110">
        <v>1.59796</v>
      </c>
      <c r="V96" s="110">
        <v>0.440774</v>
      </c>
      <c r="W96" s="110">
        <v>0.61165499999999995</v>
      </c>
      <c r="X96" s="110">
        <v>1634.34</v>
      </c>
      <c r="Y96" s="111">
        <v>9.7950099999999992E-6</v>
      </c>
      <c r="Z96" s="110">
        <v>1.2972399999999999</v>
      </c>
      <c r="AA96" s="109">
        <v>0.942519</v>
      </c>
    </row>
    <row r="97" spans="1:27" x14ac:dyDescent="0.25">
      <c r="A97" s="25">
        <v>400</v>
      </c>
      <c r="B97" s="26">
        <v>448.1</v>
      </c>
      <c r="C97" s="27">
        <v>428.2</v>
      </c>
      <c r="D97" s="28">
        <v>776.6</v>
      </c>
      <c r="E97" s="28">
        <v>1204.7</v>
      </c>
      <c r="F97" s="22">
        <v>1.9400000000000001E-2</v>
      </c>
      <c r="G97" s="29">
        <v>1.1200000000000001</v>
      </c>
      <c r="L97" s="120">
        <v>93</v>
      </c>
      <c r="M97" s="113">
        <v>333.21199999999999</v>
      </c>
      <c r="N97" s="113">
        <v>303.92899999999997</v>
      </c>
      <c r="O97" s="113">
        <v>884.68499999999995</v>
      </c>
      <c r="P97" s="113">
        <v>1188.6099999999999</v>
      </c>
      <c r="Q97" s="113">
        <v>0.24201700000000001</v>
      </c>
      <c r="R97" s="113">
        <v>4.1319400000000002</v>
      </c>
      <c r="S97" s="113">
        <v>0.48141299999999998</v>
      </c>
      <c r="T97" s="113">
        <v>1.11578</v>
      </c>
      <c r="U97" s="113">
        <v>1.5972</v>
      </c>
      <c r="V97" s="113">
        <v>0.44132500000000002</v>
      </c>
      <c r="W97" s="113">
        <v>0.61264399999999997</v>
      </c>
      <c r="X97" s="113">
        <v>1634.66</v>
      </c>
      <c r="Y97" s="114">
        <v>9.8038200000000006E-6</v>
      </c>
      <c r="Z97" s="113">
        <v>1.2971200000000001</v>
      </c>
      <c r="AA97" s="112">
        <v>0.94216299999999997</v>
      </c>
    </row>
    <row r="98" spans="1:27" ht="13.8" thickBot="1" x14ac:dyDescent="0.3">
      <c r="A98" s="38">
        <v>450</v>
      </c>
      <c r="B98" s="33">
        <v>459.5</v>
      </c>
      <c r="C98" s="34">
        <v>441</v>
      </c>
      <c r="D98" s="35">
        <v>763.8</v>
      </c>
      <c r="E98" s="35">
        <v>1204.8</v>
      </c>
      <c r="F98" s="36">
        <v>1.9609999999999999E-2</v>
      </c>
      <c r="G98" s="42">
        <v>0.99919999999999998</v>
      </c>
      <c r="L98" s="119">
        <v>94</v>
      </c>
      <c r="M98" s="110">
        <v>333.892</v>
      </c>
      <c r="N98" s="110">
        <v>304.63799999999998</v>
      </c>
      <c r="O98" s="110">
        <v>884.14099999999996</v>
      </c>
      <c r="P98" s="110">
        <v>1188.78</v>
      </c>
      <c r="Q98" s="110">
        <v>0.244147</v>
      </c>
      <c r="R98" s="110">
        <v>4.0958899999999998</v>
      </c>
      <c r="S98" s="110">
        <v>0.48230299999999998</v>
      </c>
      <c r="T98" s="110">
        <v>1.1141399999999999</v>
      </c>
      <c r="U98" s="110">
        <v>1.5964499999999999</v>
      </c>
      <c r="V98" s="110">
        <v>0.44187300000000002</v>
      </c>
      <c r="W98" s="110">
        <v>0.61362899999999998</v>
      </c>
      <c r="X98" s="110">
        <v>1634.97</v>
      </c>
      <c r="Y98" s="111">
        <v>9.8125600000000005E-6</v>
      </c>
      <c r="Z98" s="110">
        <v>1.2969999999999999</v>
      </c>
      <c r="AA98" s="109">
        <v>0.94180900000000001</v>
      </c>
    </row>
    <row r="99" spans="1:27" x14ac:dyDescent="0.25">
      <c r="A99" s="25">
        <v>500</v>
      </c>
      <c r="B99" s="26">
        <v>470</v>
      </c>
      <c r="C99" s="27">
        <v>453</v>
      </c>
      <c r="D99" s="28">
        <v>751.6</v>
      </c>
      <c r="E99" s="28">
        <v>1204.5999999999999</v>
      </c>
      <c r="F99" s="22">
        <v>1.9800000000000002E-2</v>
      </c>
      <c r="G99" s="43">
        <v>0.90100000000000002</v>
      </c>
      <c r="L99" s="120">
        <v>95</v>
      </c>
      <c r="M99" s="113">
        <v>334.56700000000001</v>
      </c>
      <c r="N99" s="113">
        <v>305.34300000000002</v>
      </c>
      <c r="O99" s="113">
        <v>883.6</v>
      </c>
      <c r="P99" s="113">
        <v>1188.94</v>
      </c>
      <c r="Q99" s="113">
        <v>0.24627599999999999</v>
      </c>
      <c r="R99" s="113">
        <v>4.0604800000000001</v>
      </c>
      <c r="S99" s="113">
        <v>0.483186</v>
      </c>
      <c r="T99" s="113">
        <v>1.1125100000000001</v>
      </c>
      <c r="U99" s="113">
        <v>1.5956999999999999</v>
      </c>
      <c r="V99" s="113">
        <v>0.44241799999999998</v>
      </c>
      <c r="W99" s="113">
        <v>0.61461100000000002</v>
      </c>
      <c r="X99" s="113">
        <v>1635.27</v>
      </c>
      <c r="Y99" s="114">
        <v>9.8212300000000005E-6</v>
      </c>
      <c r="Z99" s="113">
        <v>1.29688</v>
      </c>
      <c r="AA99" s="112">
        <v>0.94145599999999996</v>
      </c>
    </row>
    <row r="100" spans="1:27" ht="13.8" thickBot="1" x14ac:dyDescent="0.3">
      <c r="A100" s="38">
        <v>550</v>
      </c>
      <c r="B100" s="33">
        <v>479.7</v>
      </c>
      <c r="C100" s="34">
        <v>464.1</v>
      </c>
      <c r="D100" s="35">
        <v>739.9</v>
      </c>
      <c r="E100" s="35">
        <v>1204.0999999999999</v>
      </c>
      <c r="F100" s="36">
        <v>0.02</v>
      </c>
      <c r="G100" s="42">
        <v>0.81950000000000001</v>
      </c>
      <c r="L100" s="119">
        <v>96</v>
      </c>
      <c r="M100" s="110">
        <v>335.23700000000002</v>
      </c>
      <c r="N100" s="110">
        <v>306.04199999999997</v>
      </c>
      <c r="O100" s="110">
        <v>883.06200000000001</v>
      </c>
      <c r="P100" s="110">
        <v>1189.0999999999999</v>
      </c>
      <c r="Q100" s="110">
        <v>0.24840499999999999</v>
      </c>
      <c r="R100" s="110">
        <v>4.02569</v>
      </c>
      <c r="S100" s="110">
        <v>0.48406300000000002</v>
      </c>
      <c r="T100" s="110">
        <v>1.1109</v>
      </c>
      <c r="U100" s="110">
        <v>1.5949599999999999</v>
      </c>
      <c r="V100" s="110">
        <v>0.44296099999999999</v>
      </c>
      <c r="W100" s="110">
        <v>0.61558999999999997</v>
      </c>
      <c r="X100" s="110">
        <v>1635.57</v>
      </c>
      <c r="Y100" s="111">
        <v>9.8298500000000004E-6</v>
      </c>
      <c r="Z100" s="110">
        <v>1.29677</v>
      </c>
      <c r="AA100" s="109">
        <v>0.94110400000000005</v>
      </c>
    </row>
    <row r="101" spans="1:27" x14ac:dyDescent="0.25">
      <c r="A101" s="25">
        <v>600</v>
      </c>
      <c r="B101" s="26">
        <v>488.8</v>
      </c>
      <c r="C101" s="27">
        <v>474.7</v>
      </c>
      <c r="D101" s="28">
        <v>728.7</v>
      </c>
      <c r="E101" s="28">
        <v>1203.4000000000001</v>
      </c>
      <c r="F101" s="22">
        <v>2.019E-2</v>
      </c>
      <c r="G101" s="43">
        <v>0.75090000000000001</v>
      </c>
      <c r="L101" s="120">
        <v>97</v>
      </c>
      <c r="M101" s="113">
        <v>335.90199999999999</v>
      </c>
      <c r="N101" s="113">
        <v>306.73700000000002</v>
      </c>
      <c r="O101" s="113">
        <v>882.52700000000004</v>
      </c>
      <c r="P101" s="113">
        <v>1189.26</v>
      </c>
      <c r="Q101" s="113">
        <v>0.25053300000000001</v>
      </c>
      <c r="R101" s="113">
        <v>3.9914999999999998</v>
      </c>
      <c r="S101" s="113">
        <v>0.48493199999999997</v>
      </c>
      <c r="T101" s="113">
        <v>1.1093</v>
      </c>
      <c r="U101" s="113">
        <v>1.59423</v>
      </c>
      <c r="V101" s="113">
        <v>0.44350200000000001</v>
      </c>
      <c r="W101" s="113">
        <v>0.61656699999999998</v>
      </c>
      <c r="X101" s="113">
        <v>1635.86</v>
      </c>
      <c r="Y101" s="114">
        <v>9.8384000000000005E-6</v>
      </c>
      <c r="Z101" s="113">
        <v>1.2966500000000001</v>
      </c>
      <c r="AA101" s="112">
        <v>0.94075299999999995</v>
      </c>
    </row>
    <row r="102" spans="1:27" ht="13.8" thickBot="1" x14ac:dyDescent="0.3">
      <c r="A102" s="38">
        <v>650</v>
      </c>
      <c r="B102" s="33">
        <v>497.3</v>
      </c>
      <c r="C102" s="34">
        <v>484.8</v>
      </c>
      <c r="D102" s="35">
        <v>717.8</v>
      </c>
      <c r="E102" s="35">
        <v>1202.5999999999999</v>
      </c>
      <c r="F102" s="36">
        <v>2.0379999999999999E-2</v>
      </c>
      <c r="G102" s="42">
        <v>0.69220000000000004</v>
      </c>
      <c r="L102" s="119">
        <v>98</v>
      </c>
      <c r="M102" s="110">
        <v>336.56200000000001</v>
      </c>
      <c r="N102" s="110">
        <v>307.42700000000002</v>
      </c>
      <c r="O102" s="110">
        <v>881.995</v>
      </c>
      <c r="P102" s="110">
        <v>1189.42</v>
      </c>
      <c r="Q102" s="110">
        <v>0.25266</v>
      </c>
      <c r="R102" s="110">
        <v>3.9578899999999999</v>
      </c>
      <c r="S102" s="110">
        <v>0.48579499999999998</v>
      </c>
      <c r="T102" s="110">
        <v>1.10771</v>
      </c>
      <c r="U102" s="110">
        <v>1.59351</v>
      </c>
      <c r="V102" s="110">
        <v>0.44403999999999999</v>
      </c>
      <c r="W102" s="110">
        <v>0.61753999999999998</v>
      </c>
      <c r="X102" s="110">
        <v>1636.15</v>
      </c>
      <c r="Y102" s="111">
        <v>9.8468899999999998E-6</v>
      </c>
      <c r="Z102" s="110">
        <v>1.29654</v>
      </c>
      <c r="AA102" s="109">
        <v>0.94040299999999999</v>
      </c>
    </row>
    <row r="103" spans="1:27" ht="13.8" thickBot="1" x14ac:dyDescent="0.3">
      <c r="A103" s="25">
        <v>700</v>
      </c>
      <c r="B103" s="26">
        <v>505.4</v>
      </c>
      <c r="C103" s="27">
        <v>494.4</v>
      </c>
      <c r="D103" s="28">
        <v>707.1</v>
      </c>
      <c r="E103" s="28">
        <v>1201.5</v>
      </c>
      <c r="F103" s="22">
        <v>2.0559999999999998E-2</v>
      </c>
      <c r="G103" s="43">
        <v>0.64149999999999996</v>
      </c>
      <c r="L103" s="121">
        <v>99</v>
      </c>
      <c r="M103" s="122">
        <v>337.21800000000002</v>
      </c>
      <c r="N103" s="122">
        <v>308.113</v>
      </c>
      <c r="O103" s="122">
        <v>881.46500000000003</v>
      </c>
      <c r="P103" s="122">
        <v>1189.58</v>
      </c>
      <c r="Q103" s="122">
        <v>0.25478600000000001</v>
      </c>
      <c r="R103" s="122">
        <v>3.9248500000000002</v>
      </c>
      <c r="S103" s="122">
        <v>0.48665199999999997</v>
      </c>
      <c r="T103" s="122">
        <v>1.1061300000000001</v>
      </c>
      <c r="U103" s="122">
        <v>1.5927899999999999</v>
      </c>
      <c r="V103" s="122">
        <v>0.44457600000000003</v>
      </c>
      <c r="W103" s="122">
        <v>0.61851</v>
      </c>
      <c r="X103" s="122">
        <v>1636.44</v>
      </c>
      <c r="Y103" s="123">
        <v>9.85532E-6</v>
      </c>
      <c r="Z103" s="122">
        <v>1.2964199999999999</v>
      </c>
      <c r="AA103" s="124">
        <v>0.94005399999999995</v>
      </c>
    </row>
    <row r="104" spans="1:27" ht="13.8" thickBot="1" x14ac:dyDescent="0.3">
      <c r="A104" s="38">
        <v>750</v>
      </c>
      <c r="B104" s="33">
        <v>513</v>
      </c>
      <c r="C104" s="34">
        <v>503.5</v>
      </c>
      <c r="D104" s="35">
        <v>696.7</v>
      </c>
      <c r="E104" s="35">
        <v>1200.3</v>
      </c>
      <c r="F104" s="36">
        <v>2.0740000000000001E-2</v>
      </c>
      <c r="G104" s="42">
        <v>0.59709999999999996</v>
      </c>
    </row>
    <row r="105" spans="1:27" ht="13.8" thickBot="1" x14ac:dyDescent="0.3">
      <c r="A105" s="38">
        <v>800</v>
      </c>
      <c r="B105" s="33">
        <v>520.29999999999995</v>
      </c>
      <c r="C105" s="34">
        <v>512.4</v>
      </c>
      <c r="D105" s="35">
        <v>686.6</v>
      </c>
      <c r="E105" s="35">
        <v>1199</v>
      </c>
      <c r="F105" s="36">
        <v>2.0920000000000001E-2</v>
      </c>
      <c r="G105" s="42">
        <v>0.55800000000000005</v>
      </c>
    </row>
    <row r="106" spans="1:27" ht="13.8" thickBot="1" x14ac:dyDescent="0.3">
      <c r="A106" s="38">
        <v>900</v>
      </c>
      <c r="B106" s="33">
        <v>533.9</v>
      </c>
      <c r="C106" s="34">
        <v>529.1</v>
      </c>
      <c r="D106" s="35">
        <v>666.8</v>
      </c>
      <c r="E106" s="35">
        <v>1196</v>
      </c>
      <c r="F106" s="36">
        <v>2.128E-2</v>
      </c>
      <c r="G106" s="42">
        <v>0.49220000000000003</v>
      </c>
    </row>
    <row r="107" spans="1:27" x14ac:dyDescent="0.25">
      <c r="A107" s="25">
        <v>1000</v>
      </c>
      <c r="B107" s="26">
        <v>546.29999999999995</v>
      </c>
      <c r="C107" s="27">
        <v>544.79999999999995</v>
      </c>
      <c r="D107" s="28">
        <v>647.6</v>
      </c>
      <c r="E107" s="28">
        <v>1192.4000000000001</v>
      </c>
      <c r="F107" s="22">
        <v>2.164E-2</v>
      </c>
      <c r="G107" s="43">
        <v>0.439</v>
      </c>
    </row>
    <row r="108" spans="1:27" x14ac:dyDescent="0.25">
      <c r="A108" s="25">
        <v>1250</v>
      </c>
      <c r="B108" s="26">
        <v>573.9</v>
      </c>
      <c r="C108" s="27">
        <v>580.79999999999995</v>
      </c>
      <c r="D108" s="28">
        <v>601.1</v>
      </c>
      <c r="E108" s="28">
        <v>1181.9000000000001</v>
      </c>
      <c r="F108" s="22">
        <v>2.256E-2</v>
      </c>
      <c r="G108" s="43">
        <v>0.34100000000000003</v>
      </c>
    </row>
    <row r="109" spans="1:27" x14ac:dyDescent="0.25">
      <c r="A109" s="25">
        <v>1500</v>
      </c>
      <c r="B109" s="26">
        <v>597.5</v>
      </c>
      <c r="C109" s="27">
        <v>613.5</v>
      </c>
      <c r="D109" s="28">
        <v>555.70000000000005</v>
      </c>
      <c r="E109" s="28">
        <v>1169.3</v>
      </c>
      <c r="F109" s="22">
        <v>2.3519999999999999E-2</v>
      </c>
      <c r="G109" s="43">
        <v>0.27400000000000002</v>
      </c>
    </row>
    <row r="110" spans="1:27" ht="13.8" thickBot="1" x14ac:dyDescent="0.3">
      <c r="A110" s="38">
        <v>1750</v>
      </c>
      <c r="B110" s="33">
        <v>618.20000000000005</v>
      </c>
      <c r="C110" s="34">
        <v>644.29999999999995</v>
      </c>
      <c r="D110" s="35">
        <v>510.3</v>
      </c>
      <c r="E110" s="35">
        <v>1154.5999999999999</v>
      </c>
      <c r="F110" s="36">
        <v>2.4559999999999998E-2</v>
      </c>
      <c r="G110" s="42">
        <v>0.2248</v>
      </c>
      <c r="J110" s="129" t="s">
        <v>185</v>
      </c>
    </row>
    <row r="111" spans="1:27" x14ac:dyDescent="0.25">
      <c r="A111" s="25">
        <v>2000</v>
      </c>
      <c r="B111" s="26">
        <v>636.79999999999995</v>
      </c>
      <c r="C111" s="27">
        <v>673.8</v>
      </c>
      <c r="D111" s="28">
        <v>463.3</v>
      </c>
      <c r="E111" s="28">
        <v>1137.2</v>
      </c>
      <c r="F111" s="22">
        <v>2.572E-2</v>
      </c>
      <c r="G111" s="43">
        <v>0.18640000000000001</v>
      </c>
    </row>
    <row r="112" spans="1:27" x14ac:dyDescent="0.25">
      <c r="A112" s="25">
        <v>2250</v>
      </c>
      <c r="B112" s="26">
        <v>653.6</v>
      </c>
      <c r="C112" s="27">
        <v>703.1</v>
      </c>
      <c r="D112" s="28">
        <v>413.3</v>
      </c>
      <c r="E112" s="28">
        <v>1116.4000000000001</v>
      </c>
      <c r="F112" s="22">
        <v>2.707E-2</v>
      </c>
      <c r="G112" s="43">
        <v>0.15540000000000001</v>
      </c>
    </row>
    <row r="113" spans="1:7" x14ac:dyDescent="0.25">
      <c r="A113" s="25">
        <v>2500</v>
      </c>
      <c r="B113" s="26">
        <v>669</v>
      </c>
      <c r="C113" s="27">
        <v>733.6</v>
      </c>
      <c r="D113" s="28">
        <v>358.1</v>
      </c>
      <c r="E113" s="28">
        <v>1091.7</v>
      </c>
      <c r="F113" s="22">
        <v>2.8709999999999999E-2</v>
      </c>
      <c r="G113" s="43">
        <v>0.1293</v>
      </c>
    </row>
    <row r="114" spans="1:7" ht="13.8" thickBot="1" x14ac:dyDescent="0.3">
      <c r="A114" s="38">
        <v>2750</v>
      </c>
      <c r="B114" s="33">
        <v>683</v>
      </c>
      <c r="C114" s="34">
        <v>766</v>
      </c>
      <c r="D114" s="35">
        <v>294.7</v>
      </c>
      <c r="E114" s="35">
        <v>1060.7</v>
      </c>
      <c r="F114" s="36">
        <v>3.0970000000000001E-2</v>
      </c>
      <c r="G114" s="42">
        <v>0.1062</v>
      </c>
    </row>
    <row r="115" spans="1:7" x14ac:dyDescent="0.25">
      <c r="A115" s="25">
        <v>3000</v>
      </c>
      <c r="B115" s="26">
        <v>696.1</v>
      </c>
      <c r="C115" s="27">
        <v>805.1</v>
      </c>
      <c r="D115" s="28">
        <v>211.2</v>
      </c>
      <c r="E115" s="28">
        <v>1016.2</v>
      </c>
      <c r="F115" s="22">
        <v>3.465E-2</v>
      </c>
      <c r="G115" s="43">
        <v>8.3500000000000005E-2</v>
      </c>
    </row>
    <row r="116" spans="1:7" ht="13.8" thickBot="1" x14ac:dyDescent="0.3">
      <c r="A116" s="38">
        <v>3193.5</v>
      </c>
      <c r="B116" s="33">
        <v>705.5</v>
      </c>
      <c r="C116" s="34">
        <v>906</v>
      </c>
      <c r="D116" s="35">
        <v>0</v>
      </c>
      <c r="E116" s="35">
        <v>906</v>
      </c>
      <c r="F116" s="36">
        <v>5.0779999999999999E-2</v>
      </c>
      <c r="G116" s="42">
        <v>5.0799999999999998E-2</v>
      </c>
    </row>
    <row r="121" spans="1:7" ht="12.75" customHeight="1" x14ac:dyDescent="0.25"/>
  </sheetData>
  <sheetProtection algorithmName="SHA-512" hashValue="2RDZvHqgwYD4YHVfleWBEN0vahGbIzb1c029EKycADZB9qvv6WYB3P646SyrlhRqty+KSEl1+QRQy1HWobjvSg==" saltValue="nfZam5TBbokTJNQ5RGm8Jg=="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A2" sqref="A2:G27"/>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8" width="2.6640625" style="1" customWidth="1"/>
    <col min="9" max="9" width="9.6640625" style="1" customWidth="1"/>
    <col min="10" max="10" width="8.33203125" style="1" customWidth="1"/>
    <col min="11" max="13" width="6.6640625" style="1" customWidth="1"/>
    <col min="14" max="14" width="9.33203125" style="45" customWidth="1"/>
    <col min="15" max="15" width="8.6640625" style="51" customWidth="1"/>
    <col min="16" max="16384" width="9.109375" style="1"/>
  </cols>
  <sheetData>
    <row r="1" spans="1:15" ht="16.2" thickBot="1" x14ac:dyDescent="0.3">
      <c r="A1" s="513" t="s">
        <v>2</v>
      </c>
      <c r="B1" s="513"/>
      <c r="C1" s="513"/>
      <c r="D1" s="513"/>
      <c r="E1" s="513"/>
      <c r="F1" s="513"/>
      <c r="G1" s="513"/>
      <c r="H1" s="513"/>
      <c r="I1" s="513"/>
      <c r="J1" s="513"/>
      <c r="K1" s="513"/>
      <c r="L1" s="513"/>
      <c r="M1" s="513"/>
      <c r="N1" s="513"/>
      <c r="O1" s="513"/>
    </row>
    <row r="2" spans="1:15" s="2" customFormat="1" ht="26.4" x14ac:dyDescent="0.25">
      <c r="A2" s="3" t="s">
        <v>0</v>
      </c>
      <c r="B2" s="4" t="s">
        <v>3</v>
      </c>
      <c r="C2" s="3" t="s">
        <v>11</v>
      </c>
      <c r="D2" s="5"/>
      <c r="E2" s="6"/>
      <c r="F2" s="7" t="s">
        <v>12</v>
      </c>
      <c r="G2" s="8"/>
      <c r="H2" s="9"/>
      <c r="I2" s="6" t="s">
        <v>0</v>
      </c>
      <c r="J2" s="4" t="s">
        <v>3</v>
      </c>
      <c r="K2" s="3" t="s">
        <v>11</v>
      </c>
      <c r="L2" s="5"/>
      <c r="M2" s="6"/>
      <c r="N2" s="7" t="s">
        <v>13</v>
      </c>
      <c r="O2" s="10"/>
    </row>
    <row r="3" spans="1:15" ht="13.8" thickBot="1" x14ac:dyDescent="0.3">
      <c r="A3" s="11"/>
      <c r="B3" s="11" t="s">
        <v>14</v>
      </c>
      <c r="C3" s="12" t="s">
        <v>6</v>
      </c>
      <c r="D3" s="13" t="s">
        <v>7</v>
      </c>
      <c r="E3" s="13" t="s">
        <v>8</v>
      </c>
      <c r="F3" s="14" t="s">
        <v>9</v>
      </c>
      <c r="G3" s="15" t="s">
        <v>10</v>
      </c>
      <c r="H3" s="16"/>
      <c r="I3" s="17" t="s">
        <v>15</v>
      </c>
      <c r="J3" s="11" t="s">
        <v>14</v>
      </c>
      <c r="K3" s="12" t="s">
        <v>6</v>
      </c>
      <c r="L3" s="13" t="s">
        <v>7</v>
      </c>
      <c r="M3" s="13" t="s">
        <v>8</v>
      </c>
      <c r="N3" s="14" t="s">
        <v>9</v>
      </c>
      <c r="O3" s="18" t="s">
        <v>10</v>
      </c>
    </row>
    <row r="4" spans="1:15" x14ac:dyDescent="0.25">
      <c r="A4" s="52" t="s">
        <v>16</v>
      </c>
      <c r="B4" s="19"/>
      <c r="C4" s="20"/>
      <c r="D4" s="21"/>
      <c r="E4" s="21"/>
      <c r="F4" s="22"/>
      <c r="G4" s="23"/>
      <c r="H4" s="24"/>
      <c r="I4" s="73">
        <v>18</v>
      </c>
      <c r="J4" s="26">
        <v>209.8</v>
      </c>
      <c r="K4" s="27">
        <v>897.13819999999998</v>
      </c>
      <c r="L4" s="28">
        <v>1899.1790000000001</v>
      </c>
      <c r="M4" s="28">
        <v>2796.3172</v>
      </c>
      <c r="N4" s="66">
        <v>1.173E-3</v>
      </c>
      <c r="O4" s="71">
        <v>0.1046</v>
      </c>
    </row>
    <row r="5" spans="1:15" ht="13.8" thickBot="1" x14ac:dyDescent="0.3">
      <c r="A5" s="74">
        <v>-0.9</v>
      </c>
      <c r="B5" s="26">
        <v>48.3</v>
      </c>
      <c r="C5" s="27">
        <v>202.12940000000003</v>
      </c>
      <c r="D5" s="28">
        <v>2386.9412000000002</v>
      </c>
      <c r="E5" s="28">
        <v>2589.0706</v>
      </c>
      <c r="F5" s="66">
        <v>1.011E-3</v>
      </c>
      <c r="G5" s="68">
        <v>13.053000000000001</v>
      </c>
      <c r="H5" s="24"/>
      <c r="I5" s="75">
        <v>18.5</v>
      </c>
      <c r="J5" s="26">
        <v>211.1</v>
      </c>
      <c r="K5" s="27">
        <v>902.95320000000004</v>
      </c>
      <c r="L5" s="28">
        <v>1893.8292000000001</v>
      </c>
      <c r="M5" s="28">
        <v>2796.7824000000001</v>
      </c>
      <c r="N5" s="66">
        <v>1.1739999999999999E-3</v>
      </c>
      <c r="O5" s="71">
        <v>0.10199999999999999</v>
      </c>
    </row>
    <row r="6" spans="1:15" x14ac:dyDescent="0.25">
      <c r="A6" s="74">
        <v>-0.8</v>
      </c>
      <c r="B6" s="26">
        <v>61.5</v>
      </c>
      <c r="C6" s="27">
        <v>257.25560000000002</v>
      </c>
      <c r="D6" s="28">
        <v>2355.0749999999998</v>
      </c>
      <c r="E6" s="28">
        <v>2612.3306000000002</v>
      </c>
      <c r="F6" s="66">
        <v>1.018E-3</v>
      </c>
      <c r="G6" s="68">
        <v>7.218</v>
      </c>
      <c r="H6" s="24"/>
      <c r="I6" s="76">
        <v>19</v>
      </c>
      <c r="J6" s="26">
        <v>212.4</v>
      </c>
      <c r="K6" s="27">
        <v>908.76819999999998</v>
      </c>
      <c r="L6" s="28">
        <v>1888.4793999999999</v>
      </c>
      <c r="M6" s="28">
        <v>2797.2475999999997</v>
      </c>
      <c r="N6" s="66">
        <v>1.1770000000000001E-3</v>
      </c>
      <c r="O6" s="71">
        <v>9.9470000000000003E-2</v>
      </c>
    </row>
    <row r="7" spans="1:15" ht="13.8" thickBot="1" x14ac:dyDescent="0.3">
      <c r="A7" s="74">
        <v>-0.6</v>
      </c>
      <c r="B7" s="26">
        <v>76.7</v>
      </c>
      <c r="C7" s="27">
        <v>320.988</v>
      </c>
      <c r="D7" s="28">
        <v>2317.1612</v>
      </c>
      <c r="E7" s="28">
        <v>2638.1491999999998</v>
      </c>
      <c r="F7" s="66">
        <v>1.0269999999999999E-3</v>
      </c>
      <c r="G7" s="68">
        <v>3.871</v>
      </c>
      <c r="H7" s="24"/>
      <c r="I7" s="75">
        <v>19.5</v>
      </c>
      <c r="J7" s="26">
        <v>213.7</v>
      </c>
      <c r="K7" s="27">
        <v>914.58320000000003</v>
      </c>
      <c r="L7" s="28">
        <v>1883.1296000000002</v>
      </c>
      <c r="M7" s="28">
        <v>2797.7128000000002</v>
      </c>
      <c r="N7" s="66">
        <v>1.1789999999999999E-3</v>
      </c>
      <c r="O7" s="71">
        <v>9.7100000000000006E-2</v>
      </c>
    </row>
    <row r="8" spans="1:15" x14ac:dyDescent="0.25">
      <c r="A8" s="74">
        <v>-0.4</v>
      </c>
      <c r="B8" s="26">
        <v>86.5</v>
      </c>
      <c r="C8" s="27">
        <v>362.39080000000001</v>
      </c>
      <c r="D8" s="28">
        <v>2292.0403999999999</v>
      </c>
      <c r="E8" s="28">
        <v>2654.4312</v>
      </c>
      <c r="F8" s="66">
        <v>1.034E-3</v>
      </c>
      <c r="G8" s="68">
        <v>2.677</v>
      </c>
      <c r="H8" s="24"/>
      <c r="I8" s="76">
        <v>20</v>
      </c>
      <c r="J8" s="26">
        <v>214.9</v>
      </c>
      <c r="K8" s="27">
        <v>920.16560000000004</v>
      </c>
      <c r="L8" s="28">
        <v>1878.2449999999999</v>
      </c>
      <c r="M8" s="28">
        <v>2798.4106000000002</v>
      </c>
      <c r="N8" s="66">
        <v>1.181E-3</v>
      </c>
      <c r="O8" s="71">
        <v>9.4899999999999998E-2</v>
      </c>
    </row>
    <row r="9" spans="1:15" ht="13.8" thickBot="1" x14ac:dyDescent="0.3">
      <c r="A9" s="74">
        <v>-0.2</v>
      </c>
      <c r="B9" s="33">
        <v>94</v>
      </c>
      <c r="C9" s="34">
        <v>393.55919999999998</v>
      </c>
      <c r="D9" s="35">
        <v>2272.7346000000002</v>
      </c>
      <c r="E9" s="35">
        <v>2666.2938000000004</v>
      </c>
      <c r="F9" s="67">
        <v>1.039E-3</v>
      </c>
      <c r="G9" s="69">
        <v>2.0569999999999999</v>
      </c>
      <c r="H9" s="24"/>
      <c r="I9" s="77">
        <v>21</v>
      </c>
      <c r="J9" s="26">
        <v>217.3</v>
      </c>
      <c r="K9" s="27">
        <v>931.09780000000001</v>
      </c>
      <c r="L9" s="28">
        <v>1868.0106000000001</v>
      </c>
      <c r="M9" s="28">
        <v>2799.1084000000001</v>
      </c>
      <c r="N9" s="66">
        <v>1.1850000000000001E-3</v>
      </c>
      <c r="O9" s="71">
        <v>9.0609999999999996E-2</v>
      </c>
    </row>
    <row r="10" spans="1:15" x14ac:dyDescent="0.25">
      <c r="A10" s="52" t="s">
        <v>15</v>
      </c>
      <c r="B10" s="19"/>
      <c r="C10" s="20"/>
      <c r="D10" s="21"/>
      <c r="E10" s="21"/>
      <c r="F10" s="66"/>
      <c r="G10" s="70"/>
      <c r="H10" s="24"/>
      <c r="I10" s="77">
        <v>22</v>
      </c>
      <c r="J10" s="26">
        <v>219.6</v>
      </c>
      <c r="K10" s="27">
        <v>941.5648000000001</v>
      </c>
      <c r="L10" s="28">
        <v>1858.0087999999998</v>
      </c>
      <c r="M10" s="28">
        <v>2799.5735999999997</v>
      </c>
      <c r="N10" s="66">
        <v>1.189E-3</v>
      </c>
      <c r="O10" s="71">
        <v>8.6779999999999996E-2</v>
      </c>
    </row>
    <row r="11" spans="1:15" x14ac:dyDescent="0.25">
      <c r="A11" s="74">
        <v>0</v>
      </c>
      <c r="B11" s="26">
        <v>100</v>
      </c>
      <c r="C11" s="27">
        <v>419.14519999999999</v>
      </c>
      <c r="D11" s="28">
        <v>2256.9178000000002</v>
      </c>
      <c r="E11" s="28">
        <v>2676.0630000000001</v>
      </c>
      <c r="F11" s="66">
        <v>1.044E-3</v>
      </c>
      <c r="G11" s="68">
        <v>1.673</v>
      </c>
      <c r="H11" s="24"/>
      <c r="I11" s="77">
        <v>23</v>
      </c>
      <c r="J11" s="26">
        <v>221.8</v>
      </c>
      <c r="K11" s="27">
        <v>952.03180000000009</v>
      </c>
      <c r="L11" s="28">
        <v>1848.2396000000001</v>
      </c>
      <c r="M11" s="28">
        <v>2800.2714000000001</v>
      </c>
      <c r="N11" s="66">
        <v>1.193E-3</v>
      </c>
      <c r="O11" s="71">
        <v>8.3220000000000002E-2</v>
      </c>
    </row>
    <row r="12" spans="1:15" x14ac:dyDescent="0.25">
      <c r="A12" s="74">
        <v>0.1</v>
      </c>
      <c r="B12" s="26">
        <v>102.7</v>
      </c>
      <c r="C12" s="27">
        <v>430.31</v>
      </c>
      <c r="D12" s="28">
        <v>2249.9398000000001</v>
      </c>
      <c r="E12" s="28">
        <v>2680.2498000000001</v>
      </c>
      <c r="F12" s="66">
        <v>1.0460000000000001E-3</v>
      </c>
      <c r="G12" s="68">
        <v>1.532</v>
      </c>
      <c r="H12" s="24"/>
      <c r="I12" s="77">
        <v>24</v>
      </c>
      <c r="J12" s="26">
        <v>224</v>
      </c>
      <c r="K12" s="27">
        <v>962.03360000000009</v>
      </c>
      <c r="L12" s="28">
        <v>1838.703</v>
      </c>
      <c r="M12" s="28">
        <v>2800.7366000000002</v>
      </c>
      <c r="N12" s="66">
        <v>1.1969999999999999E-3</v>
      </c>
      <c r="O12" s="71">
        <v>7.9890000000000003E-2</v>
      </c>
    </row>
    <row r="13" spans="1:15" ht="13.8" thickBot="1" x14ac:dyDescent="0.3">
      <c r="A13" s="74">
        <v>0.2</v>
      </c>
      <c r="B13" s="26">
        <v>105.1</v>
      </c>
      <c r="C13" s="27">
        <v>440.77699999999999</v>
      </c>
      <c r="D13" s="28">
        <v>2243.4270000000001</v>
      </c>
      <c r="E13" s="28">
        <v>2684.2040000000002</v>
      </c>
      <c r="F13" s="66">
        <v>1.0480000000000001E-3</v>
      </c>
      <c r="G13" s="68">
        <v>1.4139999999999999</v>
      </c>
      <c r="H13" s="24"/>
      <c r="I13" s="77">
        <v>25</v>
      </c>
      <c r="J13" s="33">
        <v>226.1</v>
      </c>
      <c r="K13" s="34">
        <v>971.80280000000005</v>
      </c>
      <c r="L13" s="35">
        <v>1829.3990000000001</v>
      </c>
      <c r="M13" s="35">
        <v>2801.2018000000003</v>
      </c>
      <c r="N13" s="67">
        <v>1.201E-3</v>
      </c>
      <c r="O13" s="72">
        <v>7.6840000000000006E-2</v>
      </c>
    </row>
    <row r="14" spans="1:15" x14ac:dyDescent="0.25">
      <c r="A14" s="74">
        <v>0.3</v>
      </c>
      <c r="B14" s="26">
        <v>107.4</v>
      </c>
      <c r="C14" s="27">
        <v>450.5462</v>
      </c>
      <c r="D14" s="28">
        <v>2236.9142000000002</v>
      </c>
      <c r="E14" s="28">
        <v>2687.4603999999999</v>
      </c>
      <c r="F14" s="66">
        <v>1.0499999999999999E-3</v>
      </c>
      <c r="G14" s="68">
        <v>1.3120000000000001</v>
      </c>
      <c r="H14" s="24"/>
      <c r="I14" s="77">
        <v>26</v>
      </c>
      <c r="J14" s="26">
        <v>228.1</v>
      </c>
      <c r="K14" s="27">
        <v>981.33939999999996</v>
      </c>
      <c r="L14" s="28">
        <v>1820.3276000000001</v>
      </c>
      <c r="M14" s="28">
        <v>2801.6669999999999</v>
      </c>
      <c r="N14" s="66">
        <v>1.2049999999999999E-3</v>
      </c>
      <c r="O14" s="71">
        <v>7.4029999999999999E-2</v>
      </c>
    </row>
    <row r="15" spans="1:15" x14ac:dyDescent="0.25">
      <c r="A15" s="74">
        <v>0.4</v>
      </c>
      <c r="B15" s="26">
        <v>109.6</v>
      </c>
      <c r="C15" s="27">
        <v>459.61759999999998</v>
      </c>
      <c r="D15" s="28">
        <v>2231.0992000000001</v>
      </c>
      <c r="E15" s="28">
        <v>2690.7168000000001</v>
      </c>
      <c r="F15" s="66">
        <v>1.052E-3</v>
      </c>
      <c r="G15" s="68">
        <v>1.226</v>
      </c>
      <c r="H15" s="24"/>
      <c r="I15" s="77">
        <v>27</v>
      </c>
      <c r="J15" s="26">
        <v>230.1</v>
      </c>
      <c r="K15" s="27">
        <v>990.64339999999993</v>
      </c>
      <c r="L15" s="28">
        <v>1811.4887999999999</v>
      </c>
      <c r="M15" s="28">
        <v>2802.1322</v>
      </c>
      <c r="N15" s="66">
        <v>1.209E-3</v>
      </c>
      <c r="O15" s="71">
        <v>7.1389999999999995E-2</v>
      </c>
    </row>
    <row r="16" spans="1:15" x14ac:dyDescent="0.25">
      <c r="A16" s="74">
        <v>0.5</v>
      </c>
      <c r="B16" s="26">
        <v>111.6</v>
      </c>
      <c r="C16" s="27">
        <v>468.22380000000004</v>
      </c>
      <c r="D16" s="28">
        <v>2225.5167999999999</v>
      </c>
      <c r="E16" s="28">
        <v>2693.7406000000001</v>
      </c>
      <c r="F16" s="66">
        <v>1.0529999999999999E-3</v>
      </c>
      <c r="G16" s="68">
        <v>1.149</v>
      </c>
      <c r="H16" s="24"/>
      <c r="I16" s="77">
        <v>28</v>
      </c>
      <c r="J16" s="26">
        <v>232</v>
      </c>
      <c r="K16" s="27">
        <v>999.71480000000008</v>
      </c>
      <c r="L16" s="28">
        <v>1802.65</v>
      </c>
      <c r="M16" s="28">
        <v>2802.3648000000003</v>
      </c>
      <c r="N16" s="66">
        <v>1.2130000000000001E-3</v>
      </c>
      <c r="O16" s="71">
        <v>6.8900000000000003E-2</v>
      </c>
    </row>
    <row r="17" spans="1:15" ht="13.8" thickBot="1" x14ac:dyDescent="0.3">
      <c r="A17" s="74">
        <v>0.6</v>
      </c>
      <c r="B17" s="26">
        <v>113.6</v>
      </c>
      <c r="C17" s="27">
        <v>476.36480000000006</v>
      </c>
      <c r="D17" s="28">
        <v>2220.1669999999999</v>
      </c>
      <c r="E17" s="28">
        <v>2696.5317999999997</v>
      </c>
      <c r="F17" s="66">
        <v>1.0549999999999999E-3</v>
      </c>
      <c r="G17" s="68">
        <v>1.083</v>
      </c>
      <c r="H17" s="24"/>
      <c r="I17" s="75">
        <v>29</v>
      </c>
      <c r="J17" s="26">
        <v>233.9</v>
      </c>
      <c r="K17" s="27">
        <v>1008.5536000000001</v>
      </c>
      <c r="L17" s="28">
        <v>1793.8112000000001</v>
      </c>
      <c r="M17" s="28">
        <v>2802.3648000000003</v>
      </c>
      <c r="N17" s="66">
        <v>1.2160000000000001E-3</v>
      </c>
      <c r="O17" s="71">
        <v>6.6619999999999999E-2</v>
      </c>
    </row>
    <row r="18" spans="1:15" x14ac:dyDescent="0.25">
      <c r="A18" s="74">
        <v>0.7</v>
      </c>
      <c r="B18" s="26">
        <v>115.4</v>
      </c>
      <c r="C18" s="27">
        <v>484.27319999999997</v>
      </c>
      <c r="D18" s="28">
        <v>2215.0497999999998</v>
      </c>
      <c r="E18" s="28">
        <v>2699.3229999999999</v>
      </c>
      <c r="F18" s="66">
        <v>1.057E-3</v>
      </c>
      <c r="G18" s="68">
        <v>1.0229999999999999</v>
      </c>
      <c r="H18" s="24"/>
      <c r="I18" s="76">
        <v>30</v>
      </c>
      <c r="J18" s="26">
        <v>235.7</v>
      </c>
      <c r="K18" s="27">
        <v>1017.1598</v>
      </c>
      <c r="L18" s="28">
        <v>1785.2049999999999</v>
      </c>
      <c r="M18" s="28">
        <v>2802.3648000000003</v>
      </c>
      <c r="N18" s="66">
        <v>1.2199999999999999E-3</v>
      </c>
      <c r="O18" s="71">
        <v>6.447E-2</v>
      </c>
    </row>
    <row r="19" spans="1:15" x14ac:dyDescent="0.25">
      <c r="A19" s="74">
        <v>0.8</v>
      </c>
      <c r="B19" s="26">
        <v>117.2</v>
      </c>
      <c r="C19" s="27">
        <v>491.71640000000002</v>
      </c>
      <c r="D19" s="28">
        <v>2210.1652000000004</v>
      </c>
      <c r="E19" s="28">
        <v>2701.8816000000006</v>
      </c>
      <c r="F19" s="66">
        <v>1.0579999999999999E-3</v>
      </c>
      <c r="G19" s="68">
        <v>0.97070000000000001</v>
      </c>
      <c r="H19" s="24"/>
      <c r="I19" s="77">
        <v>31</v>
      </c>
      <c r="J19" s="26">
        <v>237.5</v>
      </c>
      <c r="K19" s="27">
        <v>1025.5334</v>
      </c>
      <c r="L19" s="28">
        <v>1776.8314</v>
      </c>
      <c r="M19" s="28">
        <v>2802.3648000000003</v>
      </c>
      <c r="N19" s="66">
        <v>1.224E-3</v>
      </c>
      <c r="O19" s="71">
        <v>6.2429999999999999E-2</v>
      </c>
    </row>
    <row r="20" spans="1:15" ht="13.8" thickBot="1" x14ac:dyDescent="0.3">
      <c r="A20" s="78">
        <v>0.9</v>
      </c>
      <c r="B20" s="33">
        <v>118.8</v>
      </c>
      <c r="C20" s="34">
        <v>498.69440000000003</v>
      </c>
      <c r="D20" s="35">
        <v>2205.5132000000003</v>
      </c>
      <c r="E20" s="35">
        <v>2704.2076000000002</v>
      </c>
      <c r="F20" s="67">
        <v>1.06E-3</v>
      </c>
      <c r="G20" s="69">
        <v>0.92310000000000003</v>
      </c>
      <c r="H20" s="24"/>
      <c r="I20" s="77">
        <v>32</v>
      </c>
      <c r="J20" s="26">
        <v>239.2</v>
      </c>
      <c r="K20" s="27">
        <v>1033.6743999999999</v>
      </c>
      <c r="L20" s="28">
        <v>1768.4577999999999</v>
      </c>
      <c r="M20" s="28">
        <v>2802.1322</v>
      </c>
      <c r="N20" s="66">
        <v>1.2279999999999999E-3</v>
      </c>
      <c r="O20" s="71">
        <v>6.0510000000000001E-2</v>
      </c>
    </row>
    <row r="21" spans="1:15" x14ac:dyDescent="0.25">
      <c r="A21" s="79">
        <v>1</v>
      </c>
      <c r="B21" s="26">
        <v>120.4</v>
      </c>
      <c r="C21" s="27">
        <v>505.67240000000004</v>
      </c>
      <c r="D21" s="28">
        <v>2200.8612000000003</v>
      </c>
      <c r="E21" s="28">
        <v>2706.5336000000002</v>
      </c>
      <c r="F21" s="66">
        <v>1.0610000000000001E-3</v>
      </c>
      <c r="G21" s="68">
        <v>0.88</v>
      </c>
      <c r="H21" s="24"/>
      <c r="I21" s="77">
        <v>33</v>
      </c>
      <c r="J21" s="26">
        <v>240.9</v>
      </c>
      <c r="K21" s="27">
        <v>1041.8154</v>
      </c>
      <c r="L21" s="28">
        <v>1760.0842000000002</v>
      </c>
      <c r="M21" s="28">
        <v>2801.8996000000002</v>
      </c>
      <c r="N21" s="66">
        <v>1.2310000000000001E-3</v>
      </c>
      <c r="O21" s="71">
        <v>5.8729999999999997E-2</v>
      </c>
    </row>
    <row r="22" spans="1:15" x14ac:dyDescent="0.25">
      <c r="A22" s="74">
        <v>1.2</v>
      </c>
      <c r="B22" s="26">
        <v>123.5</v>
      </c>
      <c r="C22" s="27">
        <v>518.46540000000005</v>
      </c>
      <c r="D22" s="28">
        <v>2192.4875999999999</v>
      </c>
      <c r="E22" s="28">
        <v>2710.953</v>
      </c>
      <c r="F22" s="66">
        <v>1.0640000000000001E-3</v>
      </c>
      <c r="G22" s="68">
        <v>0.80530000000000002</v>
      </c>
      <c r="H22" s="24"/>
      <c r="I22" s="77">
        <v>34</v>
      </c>
      <c r="J22" s="26">
        <v>242.6</v>
      </c>
      <c r="K22" s="27">
        <v>1049.7238</v>
      </c>
      <c r="L22" s="28">
        <v>1752.1758</v>
      </c>
      <c r="M22" s="28">
        <v>2801.8995999999997</v>
      </c>
      <c r="N22" s="66">
        <v>1.235E-3</v>
      </c>
      <c r="O22" s="71">
        <v>5.7020000000000001E-2</v>
      </c>
    </row>
    <row r="23" spans="1:15" ht="13.8" thickBot="1" x14ac:dyDescent="0.3">
      <c r="A23" s="74">
        <v>1.4</v>
      </c>
      <c r="B23" s="26">
        <v>126.3</v>
      </c>
      <c r="C23" s="27">
        <v>530.32799999999997</v>
      </c>
      <c r="D23" s="28">
        <v>2184.3466000000003</v>
      </c>
      <c r="E23" s="28">
        <v>2714.6746000000003</v>
      </c>
      <c r="F23" s="66">
        <v>1.0660000000000001E-3</v>
      </c>
      <c r="G23" s="68">
        <v>0.74250000000000005</v>
      </c>
      <c r="H23" s="24"/>
      <c r="I23" s="77">
        <v>35</v>
      </c>
      <c r="J23" s="33">
        <v>244.2</v>
      </c>
      <c r="K23" s="34">
        <v>1057.6322</v>
      </c>
      <c r="L23" s="35">
        <v>1744.2674</v>
      </c>
      <c r="M23" s="35">
        <v>2801.8995999999997</v>
      </c>
      <c r="N23" s="67">
        <v>1.238E-3</v>
      </c>
      <c r="O23" s="72">
        <v>5.5399999999999998E-2</v>
      </c>
    </row>
    <row r="24" spans="1:15" x14ac:dyDescent="0.25">
      <c r="A24" s="74">
        <v>1.6</v>
      </c>
      <c r="B24" s="26">
        <v>128.9</v>
      </c>
      <c r="C24" s="27">
        <v>541.49279999999999</v>
      </c>
      <c r="D24" s="28">
        <v>2176.9034000000001</v>
      </c>
      <c r="E24" s="28">
        <v>2718.3962000000001</v>
      </c>
      <c r="F24" s="66">
        <v>1.0690000000000001E-3</v>
      </c>
      <c r="G24" s="68">
        <v>0.68920000000000003</v>
      </c>
      <c r="H24" s="24"/>
      <c r="I24" s="77">
        <v>36</v>
      </c>
      <c r="J24" s="26">
        <v>245.8</v>
      </c>
      <c r="K24" s="27">
        <v>1065.308</v>
      </c>
      <c r="L24" s="28">
        <v>1736.1264000000001</v>
      </c>
      <c r="M24" s="28">
        <v>2801.4344000000001</v>
      </c>
      <c r="N24" s="66">
        <v>1.242E-3</v>
      </c>
      <c r="O24" s="71">
        <v>5.3879999999999997E-2</v>
      </c>
    </row>
    <row r="25" spans="1:15" ht="13.8" thickBot="1" x14ac:dyDescent="0.3">
      <c r="A25" s="78">
        <v>1.8</v>
      </c>
      <c r="B25" s="33">
        <v>131.4</v>
      </c>
      <c r="C25" s="34">
        <v>552.19240000000002</v>
      </c>
      <c r="D25" s="35">
        <v>2169.6927999999998</v>
      </c>
      <c r="E25" s="35">
        <v>2721.8851999999997</v>
      </c>
      <c r="F25" s="67">
        <v>1.0709999999999999E-3</v>
      </c>
      <c r="G25" s="69">
        <v>0.64319999999999999</v>
      </c>
      <c r="H25" s="24"/>
      <c r="I25" s="77">
        <v>37</v>
      </c>
      <c r="J25" s="26">
        <v>247.3</v>
      </c>
      <c r="K25" s="27">
        <v>1072.7511999999999</v>
      </c>
      <c r="L25" s="28">
        <v>1728.2180000000001</v>
      </c>
      <c r="M25" s="28">
        <v>2800.9692</v>
      </c>
      <c r="N25" s="66">
        <v>1.245E-3</v>
      </c>
      <c r="O25" s="71">
        <v>5.2440000000000001E-2</v>
      </c>
    </row>
    <row r="26" spans="1:15" x14ac:dyDescent="0.25">
      <c r="A26" s="79">
        <v>2</v>
      </c>
      <c r="B26" s="26">
        <v>133.69999999999999</v>
      </c>
      <c r="C26" s="27">
        <v>562.19420000000002</v>
      </c>
      <c r="D26" s="28">
        <v>2162.7147999999997</v>
      </c>
      <c r="E26" s="28">
        <v>2724.9089999999997</v>
      </c>
      <c r="F26" s="66">
        <v>1.0740000000000001E-3</v>
      </c>
      <c r="G26" s="68">
        <v>0.60309999999999997</v>
      </c>
      <c r="H26" s="24"/>
      <c r="I26" s="77">
        <v>38</v>
      </c>
      <c r="J26" s="26">
        <v>248.8</v>
      </c>
      <c r="K26" s="27">
        <v>1080.1944000000001</v>
      </c>
      <c r="L26" s="28">
        <v>1720.5422000000001</v>
      </c>
      <c r="M26" s="28">
        <v>2800.7366000000002</v>
      </c>
      <c r="N26" s="66">
        <v>1.2489999999999999E-3</v>
      </c>
      <c r="O26" s="71">
        <v>5.1060000000000001E-2</v>
      </c>
    </row>
    <row r="27" spans="1:15" ht="13.8" thickBot="1" x14ac:dyDescent="0.3">
      <c r="A27" s="74">
        <v>2.2000000000000002</v>
      </c>
      <c r="B27" s="26">
        <v>135.9</v>
      </c>
      <c r="C27" s="27">
        <v>571.4982</v>
      </c>
      <c r="D27" s="28">
        <v>2156.2020000000002</v>
      </c>
      <c r="E27" s="28">
        <v>2727.7002000000002</v>
      </c>
      <c r="F27" s="66">
        <v>1.0759999999999999E-3</v>
      </c>
      <c r="G27" s="68">
        <v>0.56779999999999997</v>
      </c>
      <c r="H27" s="24"/>
      <c r="I27" s="75">
        <v>39</v>
      </c>
      <c r="J27" s="26">
        <v>250.4</v>
      </c>
      <c r="K27" s="27">
        <v>1087.6376</v>
      </c>
      <c r="L27" s="28">
        <v>1712.8663999999999</v>
      </c>
      <c r="M27" s="28">
        <v>2800.5039999999999</v>
      </c>
      <c r="N27" s="66">
        <v>1.2520000000000001E-3</v>
      </c>
      <c r="O27" s="71">
        <v>4.9730000000000003E-2</v>
      </c>
    </row>
    <row r="28" spans="1:15" x14ac:dyDescent="0.25">
      <c r="A28" s="74">
        <v>2.4</v>
      </c>
      <c r="B28" s="26">
        <v>138</v>
      </c>
      <c r="C28" s="27">
        <v>580.56960000000004</v>
      </c>
      <c r="D28" s="28">
        <v>2149.9218000000001</v>
      </c>
      <c r="E28" s="28">
        <v>2730.4913999999999</v>
      </c>
      <c r="F28" s="66">
        <v>1.078E-3</v>
      </c>
      <c r="G28" s="68">
        <v>0.53649999999999998</v>
      </c>
      <c r="H28" s="24"/>
      <c r="I28" s="76">
        <v>40</v>
      </c>
      <c r="J28" s="26">
        <v>251.8</v>
      </c>
      <c r="K28" s="27">
        <v>1094.6156000000001</v>
      </c>
      <c r="L28" s="28">
        <v>1705.4232000000002</v>
      </c>
      <c r="M28" s="28">
        <v>2800.0388000000003</v>
      </c>
      <c r="N28" s="66">
        <v>1.256E-3</v>
      </c>
      <c r="O28" s="71">
        <v>4.8489999999999998E-2</v>
      </c>
    </row>
    <row r="29" spans="1:15" ht="13.8" thickBot="1" x14ac:dyDescent="0.3">
      <c r="A29" s="74">
        <v>2.6</v>
      </c>
      <c r="B29" s="26">
        <v>140</v>
      </c>
      <c r="C29" s="27">
        <v>589.17580000000009</v>
      </c>
      <c r="D29" s="28">
        <v>2143.8742000000002</v>
      </c>
      <c r="E29" s="28">
        <v>2733.05</v>
      </c>
      <c r="F29" s="66">
        <v>1.08E-3</v>
      </c>
      <c r="G29" s="68">
        <v>0.50860000000000005</v>
      </c>
      <c r="H29" s="24"/>
      <c r="I29" s="75">
        <v>45</v>
      </c>
      <c r="J29" s="26">
        <v>258.8</v>
      </c>
      <c r="K29" s="27">
        <v>1128.8078</v>
      </c>
      <c r="L29" s="28">
        <v>1668.2072000000001</v>
      </c>
      <c r="M29" s="28">
        <v>2797.0150000000003</v>
      </c>
      <c r="N29" s="66">
        <v>1.273E-3</v>
      </c>
      <c r="O29" s="71">
        <v>4.3029999999999999E-2</v>
      </c>
    </row>
    <row r="30" spans="1:15" ht="13.8" thickBot="1" x14ac:dyDescent="0.3">
      <c r="A30" s="78">
        <v>2.8</v>
      </c>
      <c r="B30" s="26">
        <v>141.9</v>
      </c>
      <c r="C30" s="27">
        <v>597.31680000000006</v>
      </c>
      <c r="D30" s="28">
        <v>2138.2918</v>
      </c>
      <c r="E30" s="28">
        <v>2735.6086</v>
      </c>
      <c r="F30" s="66">
        <v>1.0820000000000001E-3</v>
      </c>
      <c r="G30" s="68">
        <v>0.48349999999999999</v>
      </c>
      <c r="H30" s="24"/>
      <c r="I30" s="76">
        <v>50</v>
      </c>
      <c r="J30" s="26">
        <v>265.2</v>
      </c>
      <c r="K30" s="27">
        <v>1160.9066</v>
      </c>
      <c r="L30" s="28">
        <v>1632.6194</v>
      </c>
      <c r="M30" s="28">
        <v>2793.5259999999998</v>
      </c>
      <c r="N30" s="66">
        <v>1.289E-3</v>
      </c>
      <c r="O30" s="71">
        <v>3.8600000000000002E-2</v>
      </c>
    </row>
    <row r="31" spans="1:15" ht="13.8" thickBot="1" x14ac:dyDescent="0.3">
      <c r="A31" s="79">
        <v>3</v>
      </c>
      <c r="B31" s="33">
        <v>143.69999999999999</v>
      </c>
      <c r="C31" s="34">
        <v>605.22519999999997</v>
      </c>
      <c r="D31" s="35">
        <v>2132.4767999999999</v>
      </c>
      <c r="E31" s="35">
        <v>2737.7019999999998</v>
      </c>
      <c r="F31" s="67">
        <v>1.0839999999999999E-3</v>
      </c>
      <c r="G31" s="69">
        <v>0.46079999999999999</v>
      </c>
      <c r="H31" s="24"/>
      <c r="I31" s="75">
        <v>55</v>
      </c>
      <c r="J31" s="26">
        <v>271.10000000000002</v>
      </c>
      <c r="K31" s="27">
        <v>1190.912</v>
      </c>
      <c r="L31" s="28">
        <v>1598.1946</v>
      </c>
      <c r="M31" s="28">
        <v>2789.1066000000001</v>
      </c>
      <c r="N31" s="66">
        <v>1.3060000000000001E-3</v>
      </c>
      <c r="O31" s="71">
        <v>3.4939999999999999E-2</v>
      </c>
    </row>
    <row r="32" spans="1:15" x14ac:dyDescent="0.25">
      <c r="A32" s="74">
        <v>3.2</v>
      </c>
      <c r="B32" s="26">
        <v>145.5</v>
      </c>
      <c r="C32" s="27">
        <v>612.66840000000002</v>
      </c>
      <c r="D32" s="28">
        <v>2127.127</v>
      </c>
      <c r="E32" s="28">
        <v>2739.7954</v>
      </c>
      <c r="F32" s="66">
        <v>1.0859999999999999E-3</v>
      </c>
      <c r="G32" s="68">
        <v>0.44019999999999998</v>
      </c>
      <c r="H32" s="24"/>
      <c r="I32" s="76">
        <v>60</v>
      </c>
      <c r="J32" s="26">
        <v>276.60000000000002</v>
      </c>
      <c r="K32" s="27">
        <v>1219.2892000000002</v>
      </c>
      <c r="L32" s="28">
        <v>1564.4676000000002</v>
      </c>
      <c r="M32" s="28">
        <v>2783.7568000000001</v>
      </c>
      <c r="N32" s="66">
        <v>1.322E-3</v>
      </c>
      <c r="O32" s="71">
        <v>3.1859999999999999E-2</v>
      </c>
    </row>
    <row r="33" spans="1:15" ht="13.8" thickBot="1" x14ac:dyDescent="0.3">
      <c r="A33" s="74">
        <v>3.4</v>
      </c>
      <c r="B33" s="26">
        <v>147.19999999999999</v>
      </c>
      <c r="C33" s="27">
        <v>620.11160000000007</v>
      </c>
      <c r="D33" s="28">
        <v>2122.0097999999998</v>
      </c>
      <c r="E33" s="28">
        <v>2742.1214</v>
      </c>
      <c r="F33" s="66">
        <v>1.088E-3</v>
      </c>
      <c r="G33" s="68">
        <v>0.4214</v>
      </c>
      <c r="H33" s="24"/>
      <c r="I33" s="75">
        <v>65</v>
      </c>
      <c r="J33" s="33">
        <v>281.8</v>
      </c>
      <c r="K33" s="34">
        <v>1246.5034000000001</v>
      </c>
      <c r="L33" s="35">
        <v>1531.671</v>
      </c>
      <c r="M33" s="35">
        <v>2778.1743999999999</v>
      </c>
      <c r="N33" s="67">
        <v>1.338E-3</v>
      </c>
      <c r="O33" s="72">
        <v>2.9219999999999999E-2</v>
      </c>
    </row>
    <row r="34" spans="1:15" x14ac:dyDescent="0.25">
      <c r="A34" s="74">
        <v>3.6</v>
      </c>
      <c r="B34" s="26">
        <v>148.80000000000001</v>
      </c>
      <c r="C34" s="27">
        <v>627.08960000000002</v>
      </c>
      <c r="D34" s="28">
        <v>2116.8926000000001</v>
      </c>
      <c r="E34" s="28">
        <v>2743.9822000000004</v>
      </c>
      <c r="F34" s="66">
        <v>1.09E-3</v>
      </c>
      <c r="G34" s="68">
        <v>0.4042</v>
      </c>
      <c r="H34" s="24"/>
      <c r="I34" s="76">
        <v>70</v>
      </c>
      <c r="J34" s="26">
        <v>286.7</v>
      </c>
      <c r="K34" s="27">
        <v>1272.5546000000002</v>
      </c>
      <c r="L34" s="28">
        <v>1499.5722000000001</v>
      </c>
      <c r="M34" s="28">
        <v>2772.1268</v>
      </c>
      <c r="N34" s="66">
        <v>1.3550000000000001E-3</v>
      </c>
      <c r="O34" s="71">
        <v>2.6950000000000002E-2</v>
      </c>
    </row>
    <row r="35" spans="1:15" ht="13.8" thickBot="1" x14ac:dyDescent="0.3">
      <c r="A35" s="78">
        <v>3.8</v>
      </c>
      <c r="B35" s="26">
        <v>150.4</v>
      </c>
      <c r="C35" s="27">
        <v>633.83500000000004</v>
      </c>
      <c r="D35" s="28">
        <v>2111.7754</v>
      </c>
      <c r="E35" s="28">
        <v>2745.6104</v>
      </c>
      <c r="F35" s="66">
        <v>1.091E-3</v>
      </c>
      <c r="G35" s="68">
        <v>0.38829999999999998</v>
      </c>
      <c r="H35" s="24"/>
      <c r="I35" s="75">
        <v>75</v>
      </c>
      <c r="J35" s="26">
        <v>291.39999999999998</v>
      </c>
      <c r="K35" s="27">
        <v>1297.6754000000001</v>
      </c>
      <c r="L35" s="28">
        <v>1467.7060000000001</v>
      </c>
      <c r="M35" s="28">
        <v>2765.3814000000002</v>
      </c>
      <c r="N35" s="66">
        <v>1.371E-3</v>
      </c>
      <c r="O35" s="71">
        <v>2.495E-2</v>
      </c>
    </row>
    <row r="36" spans="1:15" x14ac:dyDescent="0.25">
      <c r="A36" s="79">
        <v>4</v>
      </c>
      <c r="B36" s="26">
        <v>151.9</v>
      </c>
      <c r="C36" s="27">
        <v>640.58039999999994</v>
      </c>
      <c r="D36" s="28">
        <v>2107.1233999999999</v>
      </c>
      <c r="E36" s="28">
        <v>2747.7037999999998</v>
      </c>
      <c r="F36" s="66">
        <v>1.093E-3</v>
      </c>
      <c r="G36" s="68">
        <v>0.37369999999999998</v>
      </c>
      <c r="H36" s="24"/>
      <c r="I36" s="76">
        <v>80</v>
      </c>
      <c r="J36" s="26">
        <v>295.8</v>
      </c>
      <c r="K36" s="27">
        <v>1322.0984000000001</v>
      </c>
      <c r="L36" s="28">
        <v>1436.5376000000001</v>
      </c>
      <c r="M36" s="28">
        <v>2758.6360000000004</v>
      </c>
      <c r="N36" s="66">
        <v>1.3879999999999999E-3</v>
      </c>
      <c r="O36" s="71">
        <v>2.3199999999999998E-2</v>
      </c>
    </row>
    <row r="37" spans="1:15" ht="13.8" thickBot="1" x14ac:dyDescent="0.3">
      <c r="A37" s="78">
        <v>4.5</v>
      </c>
      <c r="B37" s="33">
        <v>155.6</v>
      </c>
      <c r="C37" s="34">
        <v>656.16460000000006</v>
      </c>
      <c r="D37" s="35">
        <v>2095.4933999999998</v>
      </c>
      <c r="E37" s="35">
        <v>2751.6579999999999</v>
      </c>
      <c r="F37" s="67">
        <v>1.0970000000000001E-3</v>
      </c>
      <c r="G37" s="69">
        <v>0.3417</v>
      </c>
      <c r="H37" s="24"/>
      <c r="I37" s="75">
        <v>85</v>
      </c>
      <c r="J37" s="26">
        <v>300.10000000000002</v>
      </c>
      <c r="K37" s="27">
        <v>1345.5910000000001</v>
      </c>
      <c r="L37" s="28">
        <v>1405.6017999999999</v>
      </c>
      <c r="M37" s="28">
        <v>2751.1927999999998</v>
      </c>
      <c r="N37" s="66">
        <v>1.4040000000000001E-3</v>
      </c>
      <c r="O37" s="71">
        <v>2.162E-2</v>
      </c>
    </row>
    <row r="38" spans="1:15" ht="13.8" thickBot="1" x14ac:dyDescent="0.3">
      <c r="A38" s="79">
        <v>5</v>
      </c>
      <c r="B38" s="26">
        <v>158.9</v>
      </c>
      <c r="C38" s="27">
        <v>670.8184</v>
      </c>
      <c r="D38" s="28">
        <v>2084.7937999999999</v>
      </c>
      <c r="E38" s="28">
        <v>2755.6122</v>
      </c>
      <c r="F38" s="66">
        <v>1.101E-3</v>
      </c>
      <c r="G38" s="68">
        <v>0.31480000000000002</v>
      </c>
      <c r="H38" s="24"/>
      <c r="I38" s="76">
        <v>90</v>
      </c>
      <c r="J38" s="33">
        <v>304.10000000000002</v>
      </c>
      <c r="K38" s="34">
        <v>1368.1532000000002</v>
      </c>
      <c r="L38" s="35">
        <v>1374.6659999999999</v>
      </c>
      <c r="M38" s="35">
        <v>2742.8191999999999</v>
      </c>
      <c r="N38" s="67">
        <v>1.421E-3</v>
      </c>
      <c r="O38" s="72">
        <v>2.0230000000000001E-2</v>
      </c>
    </row>
    <row r="39" spans="1:15" ht="13.8" thickBot="1" x14ac:dyDescent="0.3">
      <c r="A39" s="78">
        <v>5.5</v>
      </c>
      <c r="B39" s="26">
        <v>162.1</v>
      </c>
      <c r="C39" s="27">
        <v>684.54180000000008</v>
      </c>
      <c r="D39" s="28">
        <v>2074.3267999999998</v>
      </c>
      <c r="E39" s="28">
        <v>2758.8685999999998</v>
      </c>
      <c r="F39" s="66">
        <v>1.1050000000000001E-3</v>
      </c>
      <c r="G39" s="68">
        <v>0.29189999999999999</v>
      </c>
      <c r="H39" s="24"/>
      <c r="I39" s="75">
        <v>95</v>
      </c>
      <c r="J39" s="26">
        <v>308</v>
      </c>
      <c r="K39" s="27">
        <v>1390.4828</v>
      </c>
      <c r="L39" s="28">
        <v>1344.1954000000001</v>
      </c>
      <c r="M39" s="28">
        <v>2734.6782000000003</v>
      </c>
      <c r="N39" s="66">
        <v>1.438E-3</v>
      </c>
      <c r="O39" s="71">
        <v>1.8970000000000001E-2</v>
      </c>
    </row>
    <row r="40" spans="1:15" x14ac:dyDescent="0.25">
      <c r="A40" s="79">
        <v>6</v>
      </c>
      <c r="B40" s="26">
        <v>165</v>
      </c>
      <c r="C40" s="27">
        <v>697.33480000000009</v>
      </c>
      <c r="D40" s="28">
        <v>2064.7902000000004</v>
      </c>
      <c r="E40" s="28">
        <v>2762.1250000000005</v>
      </c>
      <c r="F40" s="66">
        <v>1.109E-3</v>
      </c>
      <c r="G40" s="68">
        <v>0.2722</v>
      </c>
      <c r="H40" s="24"/>
      <c r="I40" s="76">
        <v>100</v>
      </c>
      <c r="J40" s="26">
        <v>311.7</v>
      </c>
      <c r="K40" s="27">
        <v>1412.3472000000002</v>
      </c>
      <c r="L40" s="28">
        <v>1313.7248</v>
      </c>
      <c r="M40" s="28">
        <v>2726.0720000000001</v>
      </c>
      <c r="N40" s="66">
        <v>1.456E-3</v>
      </c>
      <c r="O40" s="71">
        <v>1.7819999999999999E-2</v>
      </c>
    </row>
    <row r="41" spans="1:15" ht="13.8" thickBot="1" x14ac:dyDescent="0.3">
      <c r="A41" s="78">
        <v>6.5</v>
      </c>
      <c r="B41" s="26">
        <v>167.8</v>
      </c>
      <c r="C41" s="27">
        <v>709.66260000000011</v>
      </c>
      <c r="D41" s="28">
        <v>2055.2536</v>
      </c>
      <c r="E41" s="28">
        <v>2764.9162000000001</v>
      </c>
      <c r="F41" s="66">
        <v>1.1119999999999999E-3</v>
      </c>
      <c r="G41" s="68">
        <v>0.255</v>
      </c>
      <c r="H41" s="24"/>
      <c r="I41" s="77">
        <v>105</v>
      </c>
      <c r="J41" s="26">
        <v>315.3</v>
      </c>
      <c r="K41" s="27">
        <v>1433.7464</v>
      </c>
      <c r="L41" s="28">
        <v>1283.0216</v>
      </c>
      <c r="M41" s="28">
        <v>2716.768</v>
      </c>
      <c r="N41" s="66">
        <v>1.474E-3</v>
      </c>
      <c r="O41" s="71">
        <v>1.6789999999999999E-2</v>
      </c>
    </row>
    <row r="42" spans="1:15" x14ac:dyDescent="0.25">
      <c r="A42" s="79">
        <v>7</v>
      </c>
      <c r="B42" s="26">
        <v>170.5</v>
      </c>
      <c r="C42" s="27">
        <v>721.29260000000011</v>
      </c>
      <c r="D42" s="28">
        <v>2046.4148</v>
      </c>
      <c r="E42" s="28">
        <v>2767.7074000000002</v>
      </c>
      <c r="F42" s="66">
        <v>1.1150000000000001E-3</v>
      </c>
      <c r="G42" s="68">
        <v>0.2399</v>
      </c>
      <c r="H42" s="24"/>
      <c r="I42" s="77">
        <v>110</v>
      </c>
      <c r="J42" s="26">
        <v>318.7</v>
      </c>
      <c r="K42" s="27">
        <v>1454.6804</v>
      </c>
      <c r="L42" s="28">
        <v>1252.5509999999999</v>
      </c>
      <c r="M42" s="28">
        <v>2707.2313999999997</v>
      </c>
      <c r="N42" s="66">
        <v>1.493E-3</v>
      </c>
      <c r="O42" s="71">
        <v>1.5820000000000001E-2</v>
      </c>
    </row>
    <row r="43" spans="1:15" ht="13.8" thickBot="1" x14ac:dyDescent="0.3">
      <c r="A43" s="78">
        <v>7.5</v>
      </c>
      <c r="B43" s="33">
        <v>173</v>
      </c>
      <c r="C43" s="34">
        <v>732.22480000000007</v>
      </c>
      <c r="D43" s="35">
        <v>2037.8086000000001</v>
      </c>
      <c r="E43" s="35">
        <v>2770.0334000000003</v>
      </c>
      <c r="F43" s="67">
        <v>1.1180000000000001E-3</v>
      </c>
      <c r="G43" s="69">
        <v>0.22650000000000001</v>
      </c>
      <c r="H43" s="24"/>
      <c r="I43" s="77">
        <v>115</v>
      </c>
      <c r="J43" s="33">
        <v>322.10000000000002</v>
      </c>
      <c r="K43" s="34">
        <v>1475.6143999999999</v>
      </c>
      <c r="L43" s="35">
        <v>1221.8478</v>
      </c>
      <c r="M43" s="35">
        <v>2697.4621999999999</v>
      </c>
      <c r="N43" s="67">
        <v>1.511E-3</v>
      </c>
      <c r="O43" s="72">
        <v>1.495E-2</v>
      </c>
    </row>
    <row r="44" spans="1:15" ht="13.8" thickBot="1" x14ac:dyDescent="0.3">
      <c r="A44" s="79">
        <v>8</v>
      </c>
      <c r="B44" s="26">
        <v>175.4</v>
      </c>
      <c r="C44" s="27">
        <v>742.92439999999999</v>
      </c>
      <c r="D44" s="28">
        <v>2029.2023999999999</v>
      </c>
      <c r="E44" s="28">
        <v>2772.1268</v>
      </c>
      <c r="F44" s="66">
        <v>1.122E-3</v>
      </c>
      <c r="G44" s="68">
        <v>0.2145</v>
      </c>
      <c r="H44" s="24"/>
      <c r="I44" s="75">
        <v>120</v>
      </c>
      <c r="J44" s="26">
        <v>325.3</v>
      </c>
      <c r="K44" s="27">
        <v>1495.8506</v>
      </c>
      <c r="L44" s="28">
        <v>1191.1446000000001</v>
      </c>
      <c r="M44" s="28">
        <v>2686.9952000000003</v>
      </c>
      <c r="N44" s="66">
        <v>1.531E-3</v>
      </c>
      <c r="O44" s="71">
        <v>1.414E-2</v>
      </c>
    </row>
    <row r="45" spans="1:15" ht="13.8" thickBot="1" x14ac:dyDescent="0.3">
      <c r="A45" s="78">
        <v>8.5</v>
      </c>
      <c r="B45" s="33">
        <v>177.7</v>
      </c>
      <c r="C45" s="34">
        <v>753.15880000000004</v>
      </c>
      <c r="D45" s="35">
        <v>2021.0614</v>
      </c>
      <c r="E45" s="35">
        <v>2774.2202000000002</v>
      </c>
      <c r="F45" s="67">
        <v>1.124E-3</v>
      </c>
      <c r="G45" s="69">
        <v>0.20380000000000001</v>
      </c>
      <c r="H45" s="24"/>
      <c r="I45" s="76">
        <v>125</v>
      </c>
      <c r="J45" s="33">
        <v>328.4</v>
      </c>
      <c r="K45" s="34">
        <v>1516.0868</v>
      </c>
      <c r="L45" s="35">
        <v>1159.9762000000001</v>
      </c>
      <c r="M45" s="35">
        <v>2676.0630000000001</v>
      </c>
      <c r="N45" s="67">
        <v>1.5510000000000001E-3</v>
      </c>
      <c r="O45" s="72">
        <v>1.337E-2</v>
      </c>
    </row>
    <row r="46" spans="1:15" x14ac:dyDescent="0.25">
      <c r="A46" s="79">
        <v>9</v>
      </c>
      <c r="B46" s="26">
        <v>179.9</v>
      </c>
      <c r="C46" s="27">
        <v>762.69539999999995</v>
      </c>
      <c r="D46" s="28">
        <v>2013.3856000000001</v>
      </c>
      <c r="E46" s="28">
        <v>2776.0810000000001</v>
      </c>
      <c r="F46" s="66">
        <v>1.127E-3</v>
      </c>
      <c r="G46" s="68">
        <v>0.19400000000000001</v>
      </c>
      <c r="H46" s="24"/>
      <c r="I46" s="77">
        <v>130</v>
      </c>
      <c r="J46" s="26">
        <v>331.4</v>
      </c>
      <c r="K46" s="27">
        <v>1536.0904</v>
      </c>
      <c r="L46" s="28">
        <v>1128.5752</v>
      </c>
      <c r="M46" s="28">
        <v>2664.6656000000003</v>
      </c>
      <c r="N46" s="66">
        <v>1.5709999999999999E-3</v>
      </c>
      <c r="O46" s="71">
        <v>1.2659999999999999E-2</v>
      </c>
    </row>
    <row r="47" spans="1:15" ht="13.8" thickBot="1" x14ac:dyDescent="0.3">
      <c r="A47" s="78">
        <v>9.5</v>
      </c>
      <c r="B47" s="33">
        <v>182.1</v>
      </c>
      <c r="C47" s="34">
        <v>772.23199999999997</v>
      </c>
      <c r="D47" s="35">
        <v>2005.7097999999999</v>
      </c>
      <c r="E47" s="35">
        <v>2777.9417999999996</v>
      </c>
      <c r="F47" s="67">
        <v>1.1299999999999999E-3</v>
      </c>
      <c r="G47" s="69">
        <v>0.1852</v>
      </c>
      <c r="H47" s="24"/>
      <c r="I47" s="77">
        <v>135</v>
      </c>
      <c r="J47" s="33">
        <v>334.3</v>
      </c>
      <c r="K47" s="34">
        <v>1555.8614</v>
      </c>
      <c r="L47" s="35">
        <v>1096.4764</v>
      </c>
      <c r="M47" s="35">
        <v>2652.3378000000002</v>
      </c>
      <c r="N47" s="67">
        <v>1.593E-3</v>
      </c>
      <c r="O47" s="72">
        <v>1.2E-2</v>
      </c>
    </row>
    <row r="48" spans="1:15" x14ac:dyDescent="0.25">
      <c r="A48" s="79">
        <v>10</v>
      </c>
      <c r="B48" s="26">
        <v>184.1</v>
      </c>
      <c r="C48" s="27">
        <v>781.53600000000006</v>
      </c>
      <c r="D48" s="28">
        <v>1998.2666000000002</v>
      </c>
      <c r="E48" s="28">
        <v>2779.8026</v>
      </c>
      <c r="F48" s="66">
        <v>1.1329999999999999E-3</v>
      </c>
      <c r="G48" s="68">
        <v>0.1772</v>
      </c>
      <c r="H48" s="24"/>
      <c r="I48" s="77">
        <v>140</v>
      </c>
      <c r="J48" s="26">
        <v>337.2</v>
      </c>
      <c r="K48" s="27">
        <v>1575.6324</v>
      </c>
      <c r="L48" s="28">
        <v>1063.9123999999999</v>
      </c>
      <c r="M48" s="28">
        <v>2639.5447999999997</v>
      </c>
      <c r="N48" s="66">
        <v>1.6149999999999999E-3</v>
      </c>
      <c r="O48" s="71">
        <v>1.1379999999999999E-2</v>
      </c>
    </row>
    <row r="49" spans="1:15" ht="13.8" thickBot="1" x14ac:dyDescent="0.3">
      <c r="A49" s="78">
        <v>10.5</v>
      </c>
      <c r="B49" s="33">
        <v>186.1</v>
      </c>
      <c r="C49" s="34">
        <v>790.1422</v>
      </c>
      <c r="D49" s="35">
        <v>1991.2886000000001</v>
      </c>
      <c r="E49" s="35">
        <v>2781.4308000000001</v>
      </c>
      <c r="F49" s="67">
        <v>1.1360000000000001E-3</v>
      </c>
      <c r="G49" s="69">
        <v>0.16980000000000001</v>
      </c>
      <c r="H49" s="24"/>
      <c r="I49" s="75">
        <v>145</v>
      </c>
      <c r="J49" s="33">
        <v>340</v>
      </c>
      <c r="K49" s="34">
        <v>1595.4033999999999</v>
      </c>
      <c r="L49" s="35">
        <v>1030.8832</v>
      </c>
      <c r="M49" s="35">
        <v>2626.2865999999999</v>
      </c>
      <c r="N49" s="67">
        <v>1.6379999999999999E-3</v>
      </c>
      <c r="O49" s="72">
        <v>1.0789999999999999E-2</v>
      </c>
    </row>
    <row r="50" spans="1:15" x14ac:dyDescent="0.25">
      <c r="A50" s="79">
        <v>11</v>
      </c>
      <c r="B50" s="26">
        <v>188</v>
      </c>
      <c r="C50" s="27">
        <v>798.51580000000001</v>
      </c>
      <c r="D50" s="28">
        <v>1984.078</v>
      </c>
      <c r="E50" s="28">
        <v>2782.5938000000001</v>
      </c>
      <c r="F50" s="66">
        <v>1.139E-3</v>
      </c>
      <c r="G50" s="68">
        <v>0.16300000000000001</v>
      </c>
      <c r="H50" s="24"/>
      <c r="I50" s="76">
        <v>150</v>
      </c>
      <c r="J50" s="26">
        <v>342.7</v>
      </c>
      <c r="K50" s="27">
        <v>1615.1744000000001</v>
      </c>
      <c r="L50" s="28">
        <v>996.92360000000008</v>
      </c>
      <c r="M50" s="28">
        <v>2612.098</v>
      </c>
      <c r="N50" s="66">
        <v>1.663E-3</v>
      </c>
      <c r="O50" s="71">
        <v>1.023E-2</v>
      </c>
    </row>
    <row r="51" spans="1:15" ht="13.8" thickBot="1" x14ac:dyDescent="0.3">
      <c r="A51" s="78">
        <v>11.5</v>
      </c>
      <c r="B51" s="33">
        <v>189.9</v>
      </c>
      <c r="C51" s="34">
        <v>806.88940000000002</v>
      </c>
      <c r="D51" s="35">
        <v>1977.3326000000002</v>
      </c>
      <c r="E51" s="35">
        <v>2784.2220000000002</v>
      </c>
      <c r="F51" s="67">
        <v>1.1410000000000001E-3</v>
      </c>
      <c r="G51" s="69">
        <v>0.15679999999999999</v>
      </c>
      <c r="H51" s="24"/>
      <c r="I51" s="77">
        <v>155</v>
      </c>
      <c r="J51" s="33">
        <v>345.3</v>
      </c>
      <c r="K51" s="34">
        <v>1634.7128</v>
      </c>
      <c r="L51" s="35">
        <v>962.26620000000003</v>
      </c>
      <c r="M51" s="35">
        <v>2596.9790000000003</v>
      </c>
      <c r="N51" s="67">
        <v>1.689E-3</v>
      </c>
      <c r="O51" s="72">
        <v>9.7120000000000001E-3</v>
      </c>
    </row>
    <row r="52" spans="1:15" ht="13.8" thickBot="1" x14ac:dyDescent="0.3">
      <c r="A52" s="79">
        <v>12</v>
      </c>
      <c r="B52" s="26">
        <v>191.7</v>
      </c>
      <c r="C52" s="27">
        <v>814.79780000000005</v>
      </c>
      <c r="D52" s="28">
        <v>1970.5872000000002</v>
      </c>
      <c r="E52" s="28">
        <v>2785.3850000000002</v>
      </c>
      <c r="F52" s="66">
        <v>1.1440000000000001E-3</v>
      </c>
      <c r="G52" s="68">
        <v>0.151</v>
      </c>
      <c r="H52" s="24"/>
      <c r="I52" s="77">
        <v>160</v>
      </c>
      <c r="J52" s="33">
        <v>347.8</v>
      </c>
      <c r="K52" s="34">
        <v>1654.7164</v>
      </c>
      <c r="L52" s="35">
        <v>926.91100000000006</v>
      </c>
      <c r="M52" s="35">
        <v>2581.6274000000003</v>
      </c>
      <c r="N52" s="67">
        <v>1.7160000000000001E-3</v>
      </c>
      <c r="O52" s="72">
        <v>9.214E-3</v>
      </c>
    </row>
    <row r="53" spans="1:15" ht="13.8" thickBot="1" x14ac:dyDescent="0.3">
      <c r="A53" s="78">
        <v>12.5</v>
      </c>
      <c r="B53" s="33">
        <v>193.4</v>
      </c>
      <c r="C53" s="34">
        <v>822.70619999999997</v>
      </c>
      <c r="D53" s="35">
        <v>1964.0744</v>
      </c>
      <c r="E53" s="35">
        <v>2786.7806</v>
      </c>
      <c r="F53" s="67">
        <v>1.1460000000000001E-3</v>
      </c>
      <c r="G53" s="69">
        <v>0.14560000000000001</v>
      </c>
      <c r="H53" s="24"/>
      <c r="I53" s="77">
        <v>165</v>
      </c>
      <c r="J53" s="33">
        <v>350.3</v>
      </c>
      <c r="K53" s="34">
        <v>1674.72</v>
      </c>
      <c r="L53" s="35">
        <v>890.85800000000006</v>
      </c>
      <c r="M53" s="35">
        <v>2565.578</v>
      </c>
      <c r="N53" s="67">
        <v>1.745E-3</v>
      </c>
      <c r="O53" s="72">
        <v>8.7379999999999992E-3</v>
      </c>
    </row>
    <row r="54" spans="1:15" ht="13.8" thickBot="1" x14ac:dyDescent="0.3">
      <c r="A54" s="79">
        <v>13</v>
      </c>
      <c r="B54" s="26">
        <v>195.1</v>
      </c>
      <c r="C54" s="27">
        <v>830.14940000000001</v>
      </c>
      <c r="D54" s="28">
        <v>1957.5616</v>
      </c>
      <c r="E54" s="28">
        <v>2787.7110000000002</v>
      </c>
      <c r="F54" s="66">
        <v>1.1490000000000001E-3</v>
      </c>
      <c r="G54" s="68">
        <v>0.1406</v>
      </c>
      <c r="H54" s="24"/>
      <c r="I54" s="75">
        <v>170</v>
      </c>
      <c r="J54" s="26">
        <v>352.7</v>
      </c>
      <c r="K54" s="27">
        <v>1696.1192000000001</v>
      </c>
      <c r="L54" s="28">
        <v>851.78120000000001</v>
      </c>
      <c r="M54" s="28">
        <v>2547.9004</v>
      </c>
      <c r="N54" s="66">
        <v>1.776E-3</v>
      </c>
      <c r="O54" s="71">
        <v>8.2819999999999994E-3</v>
      </c>
    </row>
    <row r="55" spans="1:15" ht="13.8" thickBot="1" x14ac:dyDescent="0.3">
      <c r="A55" s="78">
        <v>13.5</v>
      </c>
      <c r="B55" s="33">
        <v>196.7</v>
      </c>
      <c r="C55" s="34">
        <v>837.59260000000006</v>
      </c>
      <c r="D55" s="35">
        <v>1951.2814000000001</v>
      </c>
      <c r="E55" s="35">
        <v>2788.8740000000003</v>
      </c>
      <c r="F55" s="67">
        <v>1.1509999999999999E-3</v>
      </c>
      <c r="G55" s="69">
        <v>0.13589999999999999</v>
      </c>
      <c r="H55" s="24"/>
      <c r="I55" s="76">
        <v>175</v>
      </c>
      <c r="J55" s="26">
        <v>355.1</v>
      </c>
      <c r="K55" s="27">
        <v>1717.751</v>
      </c>
      <c r="L55" s="28">
        <v>811.54139999999995</v>
      </c>
      <c r="M55" s="28">
        <v>2529.2923999999998</v>
      </c>
      <c r="N55" s="66">
        <v>1.8109999999999999E-3</v>
      </c>
      <c r="O55" s="71">
        <v>7.842E-3</v>
      </c>
    </row>
    <row r="56" spans="1:15" x14ac:dyDescent="0.25">
      <c r="A56" s="79">
        <v>14</v>
      </c>
      <c r="B56" s="26">
        <v>198.3</v>
      </c>
      <c r="C56" s="27">
        <v>845.03579999999999</v>
      </c>
      <c r="D56" s="28">
        <v>1945.0012000000002</v>
      </c>
      <c r="E56" s="28">
        <v>2790.0370000000003</v>
      </c>
      <c r="F56" s="66">
        <v>1.1540000000000001E-3</v>
      </c>
      <c r="G56" s="68">
        <v>0.13159999999999999</v>
      </c>
      <c r="H56" s="24"/>
      <c r="I56" s="77">
        <v>180</v>
      </c>
      <c r="J56" s="26">
        <v>357.4</v>
      </c>
      <c r="K56" s="27">
        <v>1739.1502000000003</v>
      </c>
      <c r="L56" s="28">
        <v>770.37120000000004</v>
      </c>
      <c r="M56" s="28">
        <v>2509.5214000000005</v>
      </c>
      <c r="N56" s="66">
        <v>1.8489999999999999E-3</v>
      </c>
      <c r="O56" s="71">
        <v>7.4149999999999997E-3</v>
      </c>
    </row>
    <row r="57" spans="1:15" ht="13.8" thickBot="1" x14ac:dyDescent="0.3">
      <c r="A57" s="78">
        <v>14.5</v>
      </c>
      <c r="B57" s="33">
        <v>199.9</v>
      </c>
      <c r="C57" s="34">
        <v>851.78120000000001</v>
      </c>
      <c r="D57" s="35">
        <v>1938.9536000000001</v>
      </c>
      <c r="E57" s="35">
        <v>2790.7348000000002</v>
      </c>
      <c r="F57" s="67">
        <v>1.1559999999999999E-3</v>
      </c>
      <c r="G57" s="69">
        <v>0.12740000000000001</v>
      </c>
      <c r="H57" s="24"/>
      <c r="I57" s="77">
        <v>185</v>
      </c>
      <c r="J57" s="33">
        <v>359.7</v>
      </c>
      <c r="K57" s="34">
        <v>1760.7820000000002</v>
      </c>
      <c r="L57" s="35">
        <v>727.57280000000003</v>
      </c>
      <c r="M57" s="35">
        <v>2488.3548000000001</v>
      </c>
      <c r="N57" s="67">
        <v>1.89E-3</v>
      </c>
      <c r="O57" s="72">
        <v>7.0000000000000001E-3</v>
      </c>
    </row>
    <row r="58" spans="1:15" x14ac:dyDescent="0.25">
      <c r="A58" s="79">
        <v>15</v>
      </c>
      <c r="B58" s="26">
        <v>201.4</v>
      </c>
      <c r="C58" s="27">
        <v>858.75919999999996</v>
      </c>
      <c r="D58" s="28">
        <v>1932.9059999999999</v>
      </c>
      <c r="E58" s="28">
        <v>2791.6651999999999</v>
      </c>
      <c r="F58" s="66">
        <v>1.1590000000000001E-3</v>
      </c>
      <c r="G58" s="68">
        <v>0.1236</v>
      </c>
      <c r="H58" s="24"/>
      <c r="I58" s="77">
        <v>190</v>
      </c>
      <c r="J58" s="26">
        <v>361.9</v>
      </c>
      <c r="K58" s="27">
        <v>1783.3442000000002</v>
      </c>
      <c r="L58" s="28">
        <v>681.75060000000008</v>
      </c>
      <c r="M58" s="28">
        <v>2465.0948000000003</v>
      </c>
      <c r="N58" s="66">
        <v>1.9369999999999999E-3</v>
      </c>
      <c r="O58" s="71">
        <v>6.5970000000000004E-3</v>
      </c>
    </row>
    <row r="59" spans="1:15" ht="13.8" thickBot="1" x14ac:dyDescent="0.3">
      <c r="A59" s="78">
        <v>15.5</v>
      </c>
      <c r="B59" s="33">
        <v>202.9</v>
      </c>
      <c r="C59" s="34">
        <v>865.5046000000001</v>
      </c>
      <c r="D59" s="35">
        <v>1927.3236000000002</v>
      </c>
      <c r="E59" s="35">
        <v>2792.8282000000004</v>
      </c>
      <c r="F59" s="67">
        <v>1.1609999999999999E-3</v>
      </c>
      <c r="G59" s="69">
        <v>0.12</v>
      </c>
      <c r="H59" s="24"/>
      <c r="I59" s="75">
        <v>195</v>
      </c>
      <c r="J59" s="26">
        <v>364</v>
      </c>
      <c r="K59" s="27">
        <v>1807.0694000000001</v>
      </c>
      <c r="L59" s="28">
        <v>632.67200000000003</v>
      </c>
      <c r="M59" s="28">
        <v>2439.7413999999999</v>
      </c>
      <c r="N59" s="66">
        <v>1.9910000000000001E-3</v>
      </c>
      <c r="O59" s="71">
        <v>6.1960000000000001E-3</v>
      </c>
    </row>
    <row r="60" spans="1:15" x14ac:dyDescent="0.25">
      <c r="A60" s="79">
        <v>16</v>
      </c>
      <c r="B60" s="26">
        <v>204.3</v>
      </c>
      <c r="C60" s="27">
        <v>872.01739999999995</v>
      </c>
      <c r="D60" s="28">
        <v>1921.2760000000001</v>
      </c>
      <c r="E60" s="28">
        <v>2793.2934</v>
      </c>
      <c r="F60" s="66">
        <v>1.163E-3</v>
      </c>
      <c r="G60" s="68">
        <v>0.11650000000000001</v>
      </c>
      <c r="H60" s="24"/>
      <c r="I60" s="76">
        <v>200</v>
      </c>
      <c r="J60" s="26">
        <v>366.1</v>
      </c>
      <c r="K60" s="27">
        <v>1832.1902000000002</v>
      </c>
      <c r="L60" s="28">
        <v>579.40660000000003</v>
      </c>
      <c r="M60" s="28">
        <v>2411.5968000000003</v>
      </c>
      <c r="N60" s="66">
        <v>2.052E-3</v>
      </c>
      <c r="O60" s="71">
        <v>5.7920000000000003E-3</v>
      </c>
    </row>
    <row r="61" spans="1:15" ht="13.8" thickBot="1" x14ac:dyDescent="0.3">
      <c r="A61" s="78">
        <v>16.5</v>
      </c>
      <c r="B61" s="33">
        <v>205.8</v>
      </c>
      <c r="C61" s="34">
        <v>878.2976000000001</v>
      </c>
      <c r="D61" s="35">
        <v>1915.6936000000001</v>
      </c>
      <c r="E61" s="35">
        <v>2793.9912000000004</v>
      </c>
      <c r="F61" s="67">
        <v>1.1659999999999999E-3</v>
      </c>
      <c r="G61" s="69">
        <v>0.1133</v>
      </c>
      <c r="H61" s="24"/>
      <c r="I61" s="77">
        <v>205</v>
      </c>
      <c r="J61" s="33">
        <v>368.2</v>
      </c>
      <c r="K61" s="34">
        <v>1860.3347999999999</v>
      </c>
      <c r="L61" s="35">
        <v>518.2328</v>
      </c>
      <c r="M61" s="35">
        <v>2378.5675999999999</v>
      </c>
      <c r="N61" s="67">
        <v>2.1280000000000001E-3</v>
      </c>
      <c r="O61" s="72">
        <v>5.3749999999999996E-3</v>
      </c>
    </row>
    <row r="62" spans="1:15" x14ac:dyDescent="0.25">
      <c r="A62" s="79">
        <v>17</v>
      </c>
      <c r="B62" s="26">
        <v>207.1</v>
      </c>
      <c r="C62" s="27">
        <v>884.81039999999996</v>
      </c>
      <c r="D62" s="28">
        <v>1910.1112000000001</v>
      </c>
      <c r="E62" s="28">
        <v>2794.9216000000001</v>
      </c>
      <c r="F62" s="66">
        <v>1.168E-3</v>
      </c>
      <c r="G62" s="68">
        <v>0.11020000000000001</v>
      </c>
      <c r="H62" s="24"/>
      <c r="I62" s="77">
        <v>210</v>
      </c>
      <c r="J62" s="26">
        <v>370.2</v>
      </c>
      <c r="K62" s="27">
        <v>1896.1552000000001</v>
      </c>
      <c r="L62" s="28">
        <v>438.9162</v>
      </c>
      <c r="M62" s="28">
        <v>2335.0714000000003</v>
      </c>
      <c r="N62" s="66">
        <v>2.2360000000000001E-3</v>
      </c>
      <c r="O62" s="71">
        <v>4.9109999999999996E-3</v>
      </c>
    </row>
    <row r="63" spans="1:15" ht="13.8" thickBot="1" x14ac:dyDescent="0.3">
      <c r="A63" s="80">
        <v>17.5</v>
      </c>
      <c r="B63" s="33">
        <v>208.5</v>
      </c>
      <c r="C63" s="34">
        <v>890.85800000000006</v>
      </c>
      <c r="D63" s="35">
        <v>1904.5288</v>
      </c>
      <c r="E63" s="35">
        <v>2795.3868000000002</v>
      </c>
      <c r="F63" s="67">
        <v>1.17E-3</v>
      </c>
      <c r="G63" s="69">
        <v>0.10730000000000001</v>
      </c>
      <c r="H63" s="44"/>
      <c r="I63" s="81">
        <v>220.21799999999999</v>
      </c>
      <c r="J63" s="33">
        <v>374.2</v>
      </c>
      <c r="K63" s="34">
        <v>2107.3560000000002</v>
      </c>
      <c r="L63" s="35">
        <v>0</v>
      </c>
      <c r="M63" s="35">
        <v>2107.3560000000002</v>
      </c>
      <c r="N63" s="67">
        <v>3.1700000000000001E-3</v>
      </c>
      <c r="O63" s="72">
        <v>3.1700000000000001E-3</v>
      </c>
    </row>
    <row r="64" spans="1:15" x14ac:dyDescent="0.25">
      <c r="A64" s="1"/>
      <c r="B64" s="1"/>
      <c r="C64" s="1"/>
      <c r="D64" s="1"/>
      <c r="E64" s="1"/>
      <c r="H64" s="47"/>
      <c r="I64" s="47"/>
      <c r="J64" s="47"/>
      <c r="K64" s="47"/>
      <c r="L64" s="47"/>
      <c r="M64" s="47"/>
      <c r="N64" s="48"/>
      <c r="O64" s="49"/>
    </row>
    <row r="65" spans="1:15" x14ac:dyDescent="0.25">
      <c r="A65" s="515"/>
      <c r="B65" s="515"/>
      <c r="C65" s="1"/>
      <c r="D65" s="1"/>
      <c r="E65" s="1"/>
      <c r="H65" s="47"/>
      <c r="I65" s="47"/>
      <c r="J65" s="47"/>
      <c r="K65" s="47"/>
      <c r="L65" s="47"/>
      <c r="M65" s="47"/>
      <c r="N65" s="48"/>
      <c r="O65" s="49"/>
    </row>
    <row r="66" spans="1:15" x14ac:dyDescent="0.25">
      <c r="A66" s="1"/>
      <c r="B66" s="1"/>
      <c r="C66" s="1"/>
      <c r="D66" s="1"/>
      <c r="E66" s="1"/>
      <c r="H66" s="47"/>
      <c r="I66" s="47"/>
      <c r="J66" s="47"/>
      <c r="K66" s="47"/>
      <c r="L66" s="47"/>
      <c r="M66" s="47"/>
      <c r="N66" s="48"/>
      <c r="O66" s="49"/>
    </row>
    <row r="67" spans="1:15" x14ac:dyDescent="0.25">
      <c r="A67" s="1"/>
      <c r="B67" s="1"/>
      <c r="C67" s="1"/>
      <c r="D67" s="1"/>
      <c r="E67" s="1"/>
      <c r="H67" s="47"/>
      <c r="I67" s="47"/>
      <c r="J67" s="47"/>
      <c r="K67" s="47"/>
      <c r="L67" s="47"/>
      <c r="M67" s="47"/>
      <c r="N67" s="48"/>
      <c r="O67" s="49"/>
    </row>
    <row r="68" spans="1:15" x14ac:dyDescent="0.25">
      <c r="A68" s="1"/>
      <c r="B68" s="1"/>
      <c r="C68" s="1"/>
      <c r="D68" s="1"/>
      <c r="E68" s="1"/>
      <c r="H68" s="47"/>
      <c r="I68" s="47"/>
      <c r="J68" s="47"/>
      <c r="K68" s="47"/>
      <c r="L68" s="47"/>
      <c r="M68" s="47"/>
      <c r="N68" s="48"/>
      <c r="O68" s="49"/>
    </row>
    <row r="69" spans="1:15" x14ac:dyDescent="0.25">
      <c r="A69" s="1"/>
      <c r="B69" s="1"/>
      <c r="C69" s="1"/>
      <c r="D69" s="1"/>
      <c r="E69" s="1"/>
      <c r="H69" s="47"/>
      <c r="I69" s="47"/>
      <c r="J69" s="47"/>
      <c r="K69" s="47"/>
      <c r="L69" s="47"/>
      <c r="M69" s="47"/>
      <c r="N69" s="48"/>
      <c r="O69" s="49"/>
    </row>
    <row r="70" spans="1:15" x14ac:dyDescent="0.25">
      <c r="A70" s="1"/>
      <c r="B70" s="1"/>
      <c r="C70" s="1"/>
      <c r="D70" s="1"/>
      <c r="E70" s="1"/>
      <c r="H70" s="47"/>
      <c r="I70" s="47"/>
      <c r="J70" s="47"/>
      <c r="K70" s="47"/>
      <c r="L70" s="47"/>
      <c r="M70" s="47"/>
      <c r="N70" s="48"/>
      <c r="O70" s="49"/>
    </row>
    <row r="71" spans="1:15" x14ac:dyDescent="0.25">
      <c r="A71" s="1"/>
      <c r="B71" s="1"/>
      <c r="C71" s="1"/>
      <c r="D71" s="1"/>
      <c r="E71" s="1"/>
      <c r="H71" s="47"/>
      <c r="I71" s="47"/>
      <c r="J71" s="47"/>
      <c r="K71" s="47"/>
      <c r="L71" s="47"/>
      <c r="M71" s="47"/>
      <c r="N71" s="48"/>
      <c r="O71" s="49"/>
    </row>
    <row r="72" spans="1:15" x14ac:dyDescent="0.25">
      <c r="A72" s="1"/>
      <c r="B72" s="1"/>
      <c r="C72" s="1"/>
      <c r="D72" s="1"/>
      <c r="E72" s="1"/>
      <c r="H72" s="47"/>
      <c r="I72" s="47"/>
      <c r="J72" s="47"/>
      <c r="K72" s="47"/>
      <c r="L72" s="47"/>
      <c r="M72" s="47"/>
      <c r="N72" s="48"/>
      <c r="O72" s="49"/>
    </row>
    <row r="73" spans="1:15" x14ac:dyDescent="0.25">
      <c r="A73" s="1"/>
      <c r="B73" s="1"/>
      <c r="C73" s="1"/>
      <c r="D73" s="1"/>
      <c r="E73" s="1"/>
      <c r="H73" s="47"/>
      <c r="I73" s="47"/>
      <c r="J73" s="47"/>
      <c r="K73" s="47"/>
      <c r="L73" s="47"/>
      <c r="M73" s="47"/>
      <c r="N73" s="48"/>
      <c r="O73" s="49"/>
    </row>
    <row r="74" spans="1:15" x14ac:dyDescent="0.25">
      <c r="A74" s="1"/>
      <c r="B74" s="1"/>
      <c r="C74" s="1"/>
      <c r="D74" s="1"/>
      <c r="E74" s="1"/>
      <c r="H74" s="47"/>
      <c r="I74" s="47"/>
      <c r="J74" s="47"/>
      <c r="K74" s="47"/>
      <c r="L74" s="47"/>
      <c r="M74" s="47"/>
      <c r="N74" s="48"/>
      <c r="O74" s="49"/>
    </row>
    <row r="75" spans="1:15" x14ac:dyDescent="0.25">
      <c r="A75" s="1"/>
      <c r="B75" s="1"/>
      <c r="C75" s="1"/>
      <c r="D75" s="1"/>
      <c r="E75" s="1"/>
      <c r="H75" s="47"/>
      <c r="I75" s="47"/>
      <c r="J75" s="47"/>
      <c r="K75" s="47"/>
      <c r="L75" s="47"/>
      <c r="M75" s="47"/>
      <c r="N75" s="48"/>
      <c r="O75" s="49"/>
    </row>
    <row r="76" spans="1:15" x14ac:dyDescent="0.25">
      <c r="A76" s="1"/>
      <c r="B76" s="1"/>
      <c r="C76" s="1"/>
      <c r="D76" s="1"/>
      <c r="E76" s="1"/>
      <c r="H76" s="47"/>
      <c r="I76" s="47"/>
      <c r="J76" s="47"/>
      <c r="K76" s="47"/>
      <c r="L76" s="47"/>
      <c r="M76" s="47"/>
      <c r="N76" s="48"/>
      <c r="O76" s="49"/>
    </row>
    <row r="77" spans="1:15" x14ac:dyDescent="0.25">
      <c r="A77" s="1"/>
      <c r="B77" s="1"/>
      <c r="C77" s="1"/>
      <c r="D77" s="1"/>
      <c r="E77" s="1"/>
      <c r="H77" s="47"/>
      <c r="I77" s="47"/>
      <c r="J77" s="47"/>
      <c r="K77" s="47"/>
      <c r="L77" s="47"/>
      <c r="M77" s="47"/>
      <c r="N77" s="48"/>
      <c r="O77" s="49"/>
    </row>
    <row r="78" spans="1:15" x14ac:dyDescent="0.25">
      <c r="A78" s="1"/>
      <c r="B78" s="1"/>
      <c r="C78" s="1"/>
      <c r="D78" s="1"/>
      <c r="E78" s="1"/>
      <c r="H78" s="47"/>
      <c r="I78" s="47"/>
      <c r="J78" s="47"/>
      <c r="K78" s="47"/>
      <c r="L78" s="47"/>
      <c r="M78" s="47"/>
      <c r="N78" s="48"/>
      <c r="O78" s="49"/>
    </row>
    <row r="79" spans="1:15" x14ac:dyDescent="0.25">
      <c r="A79" s="1"/>
      <c r="B79" s="1"/>
      <c r="C79" s="1"/>
      <c r="D79" s="1"/>
      <c r="E79" s="1"/>
      <c r="H79" s="47"/>
      <c r="I79" s="47"/>
      <c r="J79" s="47"/>
      <c r="K79" s="47"/>
      <c r="L79" s="47"/>
      <c r="M79" s="47"/>
      <c r="N79" s="48"/>
      <c r="O79" s="49"/>
    </row>
    <row r="80" spans="1:15" x14ac:dyDescent="0.25">
      <c r="A80" s="1"/>
      <c r="B80" s="1"/>
      <c r="C80" s="1"/>
      <c r="D80" s="1"/>
      <c r="E80" s="1"/>
      <c r="H80" s="47"/>
      <c r="I80" s="47"/>
      <c r="J80" s="47"/>
      <c r="K80" s="47"/>
      <c r="L80" s="47"/>
      <c r="M80" s="47"/>
      <c r="N80" s="48"/>
      <c r="O80" s="49"/>
    </row>
    <row r="81" spans="1:15" x14ac:dyDescent="0.25">
      <c r="A81" s="1"/>
      <c r="B81" s="1"/>
      <c r="C81" s="1"/>
      <c r="D81" s="1"/>
      <c r="E81" s="1"/>
      <c r="H81" s="47"/>
      <c r="I81" s="47"/>
      <c r="J81" s="47"/>
      <c r="K81" s="47"/>
      <c r="L81" s="47"/>
      <c r="M81" s="47"/>
      <c r="N81" s="48"/>
      <c r="O81" s="49"/>
    </row>
    <row r="82" spans="1:15" x14ac:dyDescent="0.25">
      <c r="A82" s="1"/>
      <c r="B82" s="1"/>
      <c r="C82" s="1"/>
      <c r="D82" s="1"/>
      <c r="E82" s="1"/>
      <c r="H82" s="47"/>
      <c r="I82" s="47"/>
      <c r="J82" s="47"/>
      <c r="K82" s="47"/>
      <c r="L82" s="47"/>
      <c r="M82" s="47"/>
      <c r="N82" s="48"/>
      <c r="O82" s="49"/>
    </row>
    <row r="83" spans="1:15" x14ac:dyDescent="0.25">
      <c r="A83" s="1"/>
      <c r="B83" s="1"/>
      <c r="C83" s="1"/>
      <c r="D83" s="1"/>
      <c r="E83" s="1"/>
      <c r="H83" s="47"/>
      <c r="I83" s="47"/>
      <c r="J83" s="47"/>
      <c r="K83" s="47"/>
      <c r="L83" s="47"/>
      <c r="M83" s="47"/>
      <c r="N83" s="48"/>
      <c r="O83" s="49"/>
    </row>
    <row r="84" spans="1:15" x14ac:dyDescent="0.25">
      <c r="A84" s="1"/>
      <c r="B84" s="1"/>
      <c r="C84" s="1"/>
      <c r="D84" s="1"/>
      <c r="E84" s="1"/>
      <c r="H84" s="47"/>
      <c r="I84" s="47"/>
      <c r="J84" s="47"/>
      <c r="K84" s="47"/>
      <c r="L84" s="47"/>
      <c r="M84" s="47"/>
      <c r="N84" s="48"/>
      <c r="O84" s="49"/>
    </row>
    <row r="85" spans="1:15" x14ac:dyDescent="0.25">
      <c r="A85" s="1"/>
      <c r="B85" s="1"/>
      <c r="C85" s="1"/>
      <c r="D85" s="1"/>
      <c r="E85" s="1"/>
      <c r="H85" s="47"/>
      <c r="I85" s="47"/>
      <c r="J85" s="47"/>
      <c r="K85" s="47"/>
      <c r="L85" s="47"/>
      <c r="M85" s="47"/>
      <c r="N85" s="48"/>
      <c r="O85" s="49"/>
    </row>
    <row r="86" spans="1:15" x14ac:dyDescent="0.25">
      <c r="A86" s="1"/>
      <c r="B86" s="1"/>
      <c r="C86" s="1"/>
      <c r="D86" s="1"/>
      <c r="E86" s="1"/>
      <c r="H86" s="47"/>
      <c r="I86" s="47"/>
      <c r="J86" s="47"/>
      <c r="K86" s="47"/>
      <c r="L86" s="47"/>
      <c r="M86" s="47"/>
      <c r="N86" s="48"/>
      <c r="O86" s="49"/>
    </row>
    <row r="87" spans="1:15" x14ac:dyDescent="0.25">
      <c r="A87" s="1"/>
      <c r="B87" s="1"/>
      <c r="C87" s="1"/>
      <c r="D87" s="1"/>
      <c r="E87" s="1"/>
      <c r="H87" s="47"/>
      <c r="I87" s="47"/>
      <c r="J87" s="47"/>
      <c r="K87" s="47"/>
      <c r="L87" s="47"/>
      <c r="M87" s="47"/>
      <c r="N87" s="48"/>
      <c r="O87" s="49"/>
    </row>
    <row r="88" spans="1:15" x14ac:dyDescent="0.25">
      <c r="A88" s="1"/>
      <c r="B88" s="1"/>
      <c r="C88" s="1"/>
      <c r="D88" s="1"/>
      <c r="E88" s="1"/>
      <c r="H88" s="47"/>
      <c r="I88" s="47"/>
      <c r="J88" s="47"/>
      <c r="K88" s="47"/>
      <c r="L88" s="47"/>
      <c r="M88" s="47"/>
      <c r="N88" s="48"/>
      <c r="O88" s="49"/>
    </row>
    <row r="89" spans="1:15" x14ac:dyDescent="0.25">
      <c r="A89" s="1"/>
      <c r="B89" s="1"/>
      <c r="C89" s="1"/>
      <c r="D89" s="1"/>
      <c r="E89" s="1"/>
      <c r="H89" s="47"/>
      <c r="I89" s="47"/>
      <c r="J89" s="47"/>
      <c r="K89" s="47"/>
      <c r="L89" s="47"/>
      <c r="M89" s="47"/>
      <c r="N89" s="48"/>
      <c r="O89" s="49"/>
    </row>
    <row r="90" spans="1:15" x14ac:dyDescent="0.25">
      <c r="A90" s="1"/>
      <c r="B90" s="1"/>
      <c r="C90" s="1"/>
      <c r="D90" s="1"/>
      <c r="E90" s="1"/>
      <c r="H90" s="47"/>
      <c r="I90" s="47"/>
      <c r="J90" s="47"/>
      <c r="K90" s="47"/>
      <c r="L90" s="47"/>
      <c r="M90" s="47"/>
      <c r="N90" s="48"/>
      <c r="O90" s="49"/>
    </row>
    <row r="91" spans="1:15" x14ac:dyDescent="0.25">
      <c r="A91" s="1"/>
      <c r="B91" s="1"/>
      <c r="C91" s="1"/>
      <c r="D91" s="1"/>
      <c r="E91" s="1"/>
      <c r="H91" s="47"/>
      <c r="I91" s="47"/>
      <c r="J91" s="47"/>
      <c r="K91" s="47"/>
      <c r="L91" s="47"/>
      <c r="M91" s="47"/>
      <c r="N91" s="48"/>
      <c r="O91" s="49"/>
    </row>
    <row r="92" spans="1:15" x14ac:dyDescent="0.25">
      <c r="A92" s="1"/>
      <c r="B92" s="1"/>
      <c r="C92" s="1"/>
      <c r="D92" s="1"/>
      <c r="E92" s="1"/>
      <c r="H92" s="47"/>
      <c r="I92" s="47"/>
      <c r="J92" s="47"/>
      <c r="K92" s="47"/>
      <c r="L92" s="47"/>
      <c r="M92" s="47"/>
      <c r="N92" s="48"/>
      <c r="O92" s="49"/>
    </row>
    <row r="93" spans="1:15" x14ac:dyDescent="0.25">
      <c r="A93" s="1"/>
      <c r="B93" s="1"/>
      <c r="C93" s="1"/>
      <c r="D93" s="1"/>
      <c r="E93" s="1"/>
      <c r="H93" s="47"/>
      <c r="I93" s="47"/>
      <c r="J93" s="47"/>
      <c r="K93" s="47"/>
      <c r="L93" s="47"/>
      <c r="M93" s="47"/>
      <c r="N93" s="48"/>
      <c r="O93" s="49"/>
    </row>
    <row r="94" spans="1:15" x14ac:dyDescent="0.25">
      <c r="A94" s="1"/>
      <c r="B94" s="1"/>
      <c r="C94" s="1"/>
      <c r="D94" s="1"/>
      <c r="E94" s="1"/>
      <c r="H94" s="47"/>
      <c r="I94" s="47"/>
      <c r="J94" s="47"/>
      <c r="K94" s="47"/>
      <c r="L94" s="47"/>
      <c r="M94" s="47"/>
      <c r="N94" s="48"/>
      <c r="O94" s="49"/>
    </row>
    <row r="95" spans="1:15" x14ac:dyDescent="0.25">
      <c r="A95" s="1"/>
      <c r="B95" s="1"/>
      <c r="C95" s="1"/>
      <c r="D95" s="1"/>
      <c r="E95" s="1"/>
      <c r="H95" s="47"/>
      <c r="I95" s="47"/>
      <c r="J95" s="47"/>
      <c r="K95" s="47"/>
      <c r="L95" s="47"/>
      <c r="M95" s="47"/>
      <c r="N95" s="48"/>
      <c r="O95" s="49"/>
    </row>
    <row r="96" spans="1:15" x14ac:dyDescent="0.25">
      <c r="A96" s="1"/>
      <c r="B96" s="1"/>
      <c r="C96" s="1"/>
      <c r="D96" s="1"/>
      <c r="E96" s="1"/>
      <c r="H96" s="47"/>
      <c r="I96" s="47"/>
      <c r="J96" s="47"/>
      <c r="K96" s="47"/>
      <c r="L96" s="47"/>
      <c r="M96" s="47"/>
      <c r="N96" s="48"/>
      <c r="O96" s="49"/>
    </row>
    <row r="97" spans="1:15" x14ac:dyDescent="0.25">
      <c r="A97" s="1"/>
      <c r="B97" s="1"/>
      <c r="C97" s="1"/>
      <c r="D97" s="1"/>
      <c r="E97" s="1"/>
      <c r="H97" s="47"/>
      <c r="I97" s="47"/>
      <c r="J97" s="47"/>
      <c r="K97" s="47"/>
      <c r="L97" s="47"/>
      <c r="M97" s="47"/>
      <c r="N97" s="48"/>
      <c r="O97" s="49"/>
    </row>
    <row r="98" spans="1:15" x14ac:dyDescent="0.25">
      <c r="A98" s="1"/>
      <c r="B98" s="1"/>
      <c r="C98" s="1"/>
      <c r="D98" s="1"/>
      <c r="E98" s="1"/>
      <c r="H98" s="47"/>
      <c r="I98" s="47"/>
      <c r="J98" s="47"/>
      <c r="K98" s="47"/>
      <c r="L98" s="47"/>
      <c r="M98" s="47"/>
      <c r="N98" s="48"/>
      <c r="O98" s="49"/>
    </row>
    <row r="99" spans="1:15" x14ac:dyDescent="0.25">
      <c r="A99" s="1"/>
      <c r="B99" s="1"/>
      <c r="C99" s="1"/>
      <c r="D99" s="1"/>
      <c r="E99" s="1"/>
      <c r="H99" s="47"/>
      <c r="I99" s="47"/>
      <c r="J99" s="47"/>
      <c r="K99" s="47"/>
      <c r="L99" s="47"/>
      <c r="M99" s="47"/>
      <c r="N99" s="48"/>
      <c r="O99" s="49"/>
    </row>
    <row r="100" spans="1:15" x14ac:dyDescent="0.25">
      <c r="A100" s="1"/>
      <c r="B100" s="1"/>
      <c r="C100" s="1"/>
      <c r="D100" s="1"/>
      <c r="E100" s="1"/>
      <c r="H100" s="47"/>
      <c r="I100" s="47"/>
      <c r="J100" s="47"/>
      <c r="K100" s="47"/>
      <c r="L100" s="47"/>
      <c r="M100" s="47"/>
      <c r="N100" s="48"/>
      <c r="O100" s="49"/>
    </row>
    <row r="101" spans="1:15" x14ac:dyDescent="0.25">
      <c r="A101" s="1"/>
      <c r="B101" s="1"/>
      <c r="C101" s="1"/>
      <c r="D101" s="1"/>
      <c r="E101" s="1"/>
      <c r="H101" s="47"/>
      <c r="I101" s="47"/>
      <c r="J101" s="47"/>
      <c r="K101" s="47"/>
      <c r="L101" s="47"/>
      <c r="M101" s="47"/>
      <c r="N101" s="48"/>
      <c r="O101" s="49"/>
    </row>
    <row r="102" spans="1:15" x14ac:dyDescent="0.25">
      <c r="A102" s="1"/>
      <c r="B102" s="1"/>
      <c r="C102" s="1"/>
      <c r="D102" s="1"/>
      <c r="E102" s="1"/>
      <c r="H102" s="47"/>
      <c r="I102" s="47"/>
      <c r="J102" s="47"/>
      <c r="K102" s="47"/>
      <c r="L102" s="47"/>
      <c r="M102" s="47"/>
      <c r="N102" s="48"/>
      <c r="O102" s="49"/>
    </row>
    <row r="103" spans="1:15" x14ac:dyDescent="0.25">
      <c r="A103" s="1"/>
      <c r="B103" s="1"/>
      <c r="C103" s="1"/>
      <c r="D103" s="1"/>
      <c r="E103" s="1"/>
      <c r="H103" s="47"/>
      <c r="I103" s="47"/>
      <c r="J103" s="47"/>
      <c r="K103" s="47"/>
      <c r="L103" s="47"/>
      <c r="M103" s="47"/>
      <c r="N103" s="48"/>
      <c r="O103" s="49"/>
    </row>
    <row r="104" spans="1:15" x14ac:dyDescent="0.25">
      <c r="A104" s="1"/>
      <c r="B104" s="1"/>
      <c r="C104" s="1"/>
      <c r="D104" s="1"/>
      <c r="E104" s="1"/>
      <c r="H104" s="47"/>
      <c r="I104" s="47"/>
      <c r="J104" s="47"/>
      <c r="K104" s="47"/>
      <c r="L104" s="47"/>
      <c r="M104" s="47"/>
      <c r="N104" s="48"/>
      <c r="O104" s="49"/>
    </row>
    <row r="105" spans="1:15" x14ac:dyDescent="0.25">
      <c r="A105" s="1"/>
      <c r="B105" s="1"/>
      <c r="C105" s="1"/>
      <c r="D105" s="1"/>
      <c r="E105" s="1"/>
      <c r="H105" s="47"/>
      <c r="I105" s="47"/>
      <c r="J105" s="47"/>
      <c r="K105" s="47"/>
      <c r="L105" s="47"/>
      <c r="M105" s="47"/>
      <c r="N105" s="48"/>
      <c r="O105" s="49"/>
    </row>
    <row r="106" spans="1:15" x14ac:dyDescent="0.25">
      <c r="A106" s="1"/>
      <c r="B106" s="1"/>
      <c r="C106" s="1"/>
      <c r="D106" s="1"/>
      <c r="E106" s="1"/>
      <c r="H106" s="47"/>
      <c r="I106" s="47"/>
      <c r="J106" s="47"/>
      <c r="K106" s="47"/>
      <c r="L106" s="47"/>
      <c r="M106" s="47"/>
      <c r="N106" s="48"/>
      <c r="O106" s="49"/>
    </row>
    <row r="107" spans="1:15" x14ac:dyDescent="0.25">
      <c r="A107" s="1"/>
      <c r="B107" s="1"/>
      <c r="C107" s="1"/>
      <c r="D107" s="1"/>
      <c r="E107" s="1"/>
      <c r="H107" s="47"/>
      <c r="I107" s="47"/>
      <c r="J107" s="47"/>
      <c r="K107" s="47"/>
      <c r="L107" s="47"/>
      <c r="M107" s="47"/>
      <c r="N107" s="48"/>
      <c r="O107" s="49"/>
    </row>
    <row r="108" spans="1:15" x14ac:dyDescent="0.25">
      <c r="A108" s="1"/>
      <c r="B108" s="1"/>
      <c r="C108" s="1"/>
      <c r="D108" s="1"/>
      <c r="E108" s="1"/>
      <c r="H108" s="47"/>
      <c r="I108" s="47"/>
      <c r="J108" s="47"/>
      <c r="K108" s="47"/>
      <c r="L108" s="47"/>
      <c r="M108" s="47"/>
      <c r="N108" s="48"/>
      <c r="O108" s="49"/>
    </row>
    <row r="109" spans="1:15" x14ac:dyDescent="0.25">
      <c r="A109" s="1"/>
      <c r="B109" s="1"/>
      <c r="C109" s="1"/>
      <c r="D109" s="1"/>
      <c r="E109" s="1"/>
      <c r="H109" s="47"/>
      <c r="I109" s="47"/>
      <c r="J109" s="47"/>
      <c r="K109" s="47"/>
      <c r="L109" s="47"/>
      <c r="M109" s="47"/>
      <c r="N109" s="48"/>
      <c r="O109" s="49"/>
    </row>
    <row r="110" spans="1:15" x14ac:dyDescent="0.25">
      <c r="A110" s="1"/>
      <c r="B110" s="1"/>
      <c r="C110" s="1"/>
      <c r="D110" s="1"/>
      <c r="E110" s="1"/>
      <c r="H110" s="47"/>
      <c r="I110" s="47"/>
      <c r="J110" s="47"/>
      <c r="K110" s="47"/>
      <c r="L110" s="47"/>
      <c r="M110" s="47"/>
      <c r="N110" s="48"/>
      <c r="O110" s="49"/>
    </row>
    <row r="111" spans="1:15" x14ac:dyDescent="0.25">
      <c r="A111" s="1"/>
      <c r="B111" s="1"/>
      <c r="C111" s="1"/>
      <c r="D111" s="1"/>
      <c r="E111" s="1"/>
      <c r="H111" s="47"/>
      <c r="I111" s="47"/>
      <c r="J111" s="47"/>
      <c r="K111" s="47"/>
      <c r="L111" s="47"/>
      <c r="M111" s="47"/>
      <c r="N111" s="48"/>
      <c r="O111" s="49"/>
    </row>
    <row r="112" spans="1:15" x14ac:dyDescent="0.25">
      <c r="A112" s="1"/>
      <c r="B112" s="1"/>
      <c r="C112" s="1"/>
      <c r="D112" s="1"/>
      <c r="E112" s="1"/>
      <c r="H112" s="47"/>
      <c r="I112" s="47"/>
      <c r="J112" s="47"/>
      <c r="K112" s="47"/>
      <c r="L112" s="47"/>
      <c r="M112" s="47"/>
      <c r="N112" s="48"/>
      <c r="O112" s="49"/>
    </row>
    <row r="113" spans="1:15" x14ac:dyDescent="0.25">
      <c r="A113" s="1"/>
      <c r="B113" s="1"/>
      <c r="C113" s="1"/>
      <c r="D113" s="1"/>
      <c r="E113" s="1"/>
      <c r="H113" s="47"/>
      <c r="I113" s="47"/>
      <c r="J113" s="47"/>
      <c r="K113" s="47"/>
      <c r="L113" s="47"/>
      <c r="M113" s="47"/>
      <c r="N113" s="48"/>
      <c r="O113" s="49"/>
    </row>
    <row r="114" spans="1:15" x14ac:dyDescent="0.25">
      <c r="A114" s="1"/>
      <c r="B114" s="1"/>
      <c r="C114" s="1"/>
      <c r="D114" s="1"/>
      <c r="E114" s="1"/>
      <c r="H114" s="47"/>
      <c r="I114" s="47"/>
      <c r="J114" s="47"/>
      <c r="K114" s="47"/>
      <c r="L114" s="47"/>
      <c r="M114" s="47"/>
      <c r="N114" s="48"/>
      <c r="O114" s="49"/>
    </row>
    <row r="115" spans="1:15" x14ac:dyDescent="0.25">
      <c r="A115" s="1"/>
      <c r="B115" s="1"/>
      <c r="C115" s="1"/>
      <c r="D115" s="1"/>
      <c r="E115" s="1"/>
      <c r="H115" s="47"/>
      <c r="I115" s="47"/>
      <c r="J115" s="47"/>
      <c r="K115" s="47"/>
      <c r="L115" s="47"/>
      <c r="M115" s="47"/>
      <c r="N115" s="48"/>
      <c r="O115" s="49"/>
    </row>
    <row r="116" spans="1:15" x14ac:dyDescent="0.25">
      <c r="A116" s="1"/>
      <c r="B116" s="1"/>
      <c r="C116" s="1"/>
      <c r="D116" s="1"/>
      <c r="E116" s="1"/>
      <c r="H116" s="47"/>
      <c r="I116" s="47"/>
      <c r="J116" s="47"/>
      <c r="K116" s="47"/>
      <c r="L116" s="47"/>
      <c r="M116" s="47"/>
      <c r="N116" s="48"/>
      <c r="O116" s="49"/>
    </row>
    <row r="117" spans="1:15" x14ac:dyDescent="0.25">
      <c r="A117" s="1"/>
      <c r="B117" s="1"/>
      <c r="C117" s="1"/>
      <c r="D117" s="1"/>
      <c r="E117" s="1"/>
      <c r="H117" s="47"/>
      <c r="I117" s="47"/>
      <c r="J117" s="47"/>
      <c r="K117" s="47"/>
      <c r="L117" s="47"/>
      <c r="M117" s="47"/>
      <c r="N117" s="48"/>
      <c r="O117" s="49"/>
    </row>
    <row r="118" spans="1:15" x14ac:dyDescent="0.25">
      <c r="A118" s="1"/>
      <c r="B118" s="1"/>
      <c r="C118" s="1"/>
      <c r="D118" s="1"/>
      <c r="E118" s="1"/>
      <c r="H118" s="47"/>
      <c r="I118" s="47"/>
      <c r="J118" s="47"/>
      <c r="K118" s="47"/>
      <c r="L118" s="47"/>
      <c r="M118" s="47"/>
      <c r="N118" s="48"/>
      <c r="O118" s="49"/>
    </row>
    <row r="119" spans="1:15" x14ac:dyDescent="0.25">
      <c r="A119" s="1"/>
      <c r="B119" s="1"/>
      <c r="C119" s="1"/>
      <c r="D119" s="1"/>
      <c r="E119" s="1"/>
      <c r="H119" s="47"/>
      <c r="I119" s="47"/>
      <c r="J119" s="47"/>
      <c r="K119" s="47"/>
      <c r="L119" s="47"/>
      <c r="M119" s="47"/>
      <c r="N119" s="48"/>
      <c r="O119" s="49"/>
    </row>
    <row r="120" spans="1:15" x14ac:dyDescent="0.25">
      <c r="A120" s="1"/>
      <c r="B120" s="1"/>
      <c r="C120" s="1"/>
      <c r="D120" s="1"/>
      <c r="E120" s="1"/>
      <c r="H120" s="47"/>
      <c r="I120" s="47"/>
      <c r="J120" s="47"/>
      <c r="K120" s="47"/>
      <c r="L120" s="47"/>
      <c r="M120" s="47"/>
      <c r="N120" s="48"/>
      <c r="O120" s="49"/>
    </row>
    <row r="121" spans="1:15" ht="12.75" customHeight="1" x14ac:dyDescent="0.25">
      <c r="A121" s="1"/>
      <c r="B121" s="1"/>
      <c r="C121" s="1"/>
      <c r="D121" s="1"/>
      <c r="E121" s="1"/>
      <c r="H121" s="47"/>
      <c r="I121" s="47"/>
      <c r="J121" s="47"/>
      <c r="K121" s="47"/>
      <c r="L121" s="47"/>
      <c r="M121" s="47"/>
      <c r="N121" s="48"/>
      <c r="O121" s="49"/>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S60"/>
  <sheetViews>
    <sheetView workbookViewId="0">
      <selection activeCell="M1" sqref="M1"/>
    </sheetView>
  </sheetViews>
  <sheetFormatPr defaultColWidth="9.109375" defaultRowHeight="14.4" x14ac:dyDescent="0.3"/>
  <cols>
    <col min="1" max="1" width="19.44140625" style="97" customWidth="1"/>
    <col min="2" max="2" width="19.109375" style="97" customWidth="1"/>
    <col min="3" max="3" width="9.109375" style="147"/>
    <col min="4" max="5" width="9.109375" style="149"/>
    <col min="6" max="6" width="9.109375" style="147"/>
    <col min="7" max="7" width="10.109375" style="147" customWidth="1"/>
    <col min="8" max="8" width="9.109375" style="144"/>
    <col min="9" max="9" width="10.109375" style="144" customWidth="1"/>
    <col min="10" max="10" width="9.109375" style="144"/>
    <col min="11" max="12" width="9.109375" style="97"/>
    <col min="13" max="13" width="11.88671875" style="97" customWidth="1"/>
    <col min="14" max="14" width="22.5546875" style="97" customWidth="1"/>
    <col min="15" max="15" width="15.109375" style="97" customWidth="1"/>
    <col min="16" max="16" width="16.44140625" style="97" customWidth="1"/>
    <col min="17" max="17" width="20.88671875" style="97" customWidth="1"/>
    <col min="18" max="16384" width="9.109375" style="97"/>
  </cols>
  <sheetData>
    <row r="1" spans="1:19" s="98" customFormat="1" ht="28.5" customHeight="1" x14ac:dyDescent="0.3">
      <c r="A1" s="137" t="s">
        <v>153</v>
      </c>
      <c r="B1" s="137" t="s">
        <v>261</v>
      </c>
      <c r="C1" s="156" t="s">
        <v>152</v>
      </c>
      <c r="D1" s="157" t="s">
        <v>377</v>
      </c>
      <c r="E1" s="157" t="s">
        <v>378</v>
      </c>
      <c r="F1" s="139" t="s">
        <v>157</v>
      </c>
      <c r="G1" s="139" t="s">
        <v>259</v>
      </c>
      <c r="H1" s="155" t="s">
        <v>195</v>
      </c>
      <c r="I1" s="140" t="s">
        <v>252</v>
      </c>
      <c r="J1" s="140" t="s">
        <v>438</v>
      </c>
      <c r="K1" s="413" t="s">
        <v>533</v>
      </c>
      <c r="L1" s="413" t="s">
        <v>538</v>
      </c>
      <c r="M1" s="413" t="s">
        <v>519</v>
      </c>
      <c r="O1" s="133" t="s">
        <v>233</v>
      </c>
      <c r="P1" s="133" t="s">
        <v>234</v>
      </c>
      <c r="Q1" s="133" t="s">
        <v>235</v>
      </c>
    </row>
    <row r="2" spans="1:19" x14ac:dyDescent="0.3">
      <c r="A2" s="136" t="s">
        <v>151</v>
      </c>
      <c r="B2" s="98" t="s">
        <v>248</v>
      </c>
      <c r="C2" s="141">
        <v>0.5</v>
      </c>
      <c r="D2" s="148">
        <v>1</v>
      </c>
      <c r="E2" s="148">
        <v>0.86499999999999999</v>
      </c>
      <c r="F2" s="142">
        <v>35</v>
      </c>
      <c r="G2" s="98" t="s">
        <v>248</v>
      </c>
      <c r="H2" s="143">
        <v>0.187</v>
      </c>
      <c r="I2" s="143">
        <v>2.746458837584537E-2</v>
      </c>
      <c r="M2" s="97" t="str">
        <f>IF(A2="","",A2&amp;" ("&amp;SUBSTITUTE(SUBSTITUTE(SUBSTITUTE(C2,CHAR(160),"")," ",""),CHAR(34),"")&amp;"-in) - "&amp;IF(UPPER(TRIM(Calculator!$D$28))="KV","Kv "&amp;TEXT(E2,"0.0"),"Cv "&amp;TEXT(D2,"0.0")))</f>
        <v>B2050VS-01 (0.5-in) - Cv 1.0</v>
      </c>
      <c r="O2" s="158">
        <v>0.5</v>
      </c>
      <c r="P2" s="134"/>
      <c r="Q2" s="135">
        <v>0.38</v>
      </c>
      <c r="R2" s="97">
        <f>PI() * (Q2 / 2)^2</f>
        <v>0.11341149479459153</v>
      </c>
      <c r="S2" s="97">
        <f>PI() * ((Q2 / 12) / 2)^2</f>
        <v>7.8757982496244141E-4</v>
      </c>
    </row>
    <row r="3" spans="1:19" s="98" customFormat="1" ht="15" customHeight="1" x14ac:dyDescent="0.3">
      <c r="A3" s="136" t="s">
        <v>150</v>
      </c>
      <c r="B3" s="98" t="s">
        <v>248</v>
      </c>
      <c r="C3" s="141">
        <v>0.5</v>
      </c>
      <c r="D3" s="148">
        <v>2</v>
      </c>
      <c r="E3" s="148">
        <v>1.73</v>
      </c>
      <c r="F3" s="142">
        <v>35</v>
      </c>
      <c r="G3" s="98" t="s">
        <v>248</v>
      </c>
      <c r="H3" s="143">
        <v>0.28100000000000003</v>
      </c>
      <c r="I3" s="143">
        <v>6.2015824380025925E-2</v>
      </c>
      <c r="J3" s="145"/>
      <c r="M3" s="98" t="str">
        <f>IF(A3="","",A3&amp;" ("&amp;SUBSTITUTE(SUBSTITUTE(SUBSTITUTE(C3,CHAR(160),"")," ",""),CHAR(34),"")&amp;"-in) - "&amp;IF(UPPER(TRIM(Calculator!$D$28))="KV","Kv "&amp;TEXT(E3,"0.0"),"Cv "&amp;TEXT(D3,"0.0")))</f>
        <v>B2050VS-02 (0.5-in) - Cv 2.0</v>
      </c>
      <c r="O3" s="158">
        <v>0.75</v>
      </c>
      <c r="P3" s="134"/>
      <c r="Q3" s="135">
        <v>0.5</v>
      </c>
      <c r="R3" s="97">
        <f t="shared" ref="R3:R14" si="0">PI() * (Q3 / 2)^2</f>
        <v>0.19634954084936207</v>
      </c>
    </row>
    <row r="4" spans="1:19" s="98" customFormat="1" ht="15" customHeight="1" x14ac:dyDescent="0.3">
      <c r="A4" s="136" t="s">
        <v>149</v>
      </c>
      <c r="B4" s="98" t="s">
        <v>248</v>
      </c>
      <c r="C4" s="141">
        <v>0.5</v>
      </c>
      <c r="D4" s="148">
        <v>4</v>
      </c>
      <c r="E4" s="148">
        <v>3.46</v>
      </c>
      <c r="F4" s="142">
        <v>35</v>
      </c>
      <c r="G4" s="98" t="s">
        <v>248</v>
      </c>
      <c r="H4" s="143">
        <v>0.375</v>
      </c>
      <c r="I4" s="143">
        <v>0.11044661672776616</v>
      </c>
      <c r="J4" s="145"/>
      <c r="M4" s="98" t="str">
        <f>IF(A4="","",A4&amp;" ("&amp;SUBSTITUTE(SUBSTITUTE(SUBSTITUTE(C4,CHAR(160),"")," ",""),CHAR(34),"")&amp;"-in) - "&amp;IF(UPPER(TRIM(Calculator!$D$28))="KV","Kv "&amp;TEXT(E4,"0.0"),"Cv "&amp;TEXT(D4,"0.0")))</f>
        <v>B2050VS-04 (0.5-in) - Cv 4.0</v>
      </c>
      <c r="O4" s="158">
        <v>1</v>
      </c>
      <c r="P4" s="134"/>
      <c r="Q4" s="135">
        <v>0.75</v>
      </c>
      <c r="R4" s="97">
        <f t="shared" si="0"/>
        <v>0.44178646691106466</v>
      </c>
    </row>
    <row r="5" spans="1:19" s="98" customFormat="1" ht="15" customHeight="1" x14ac:dyDescent="0.3">
      <c r="A5" s="136" t="s">
        <v>148</v>
      </c>
      <c r="B5" s="98" t="s">
        <v>248</v>
      </c>
      <c r="C5" s="141">
        <v>0.5</v>
      </c>
      <c r="D5" s="148">
        <v>15</v>
      </c>
      <c r="E5" s="148">
        <v>12.975</v>
      </c>
      <c r="F5" s="142">
        <v>35</v>
      </c>
      <c r="G5" s="98" t="s">
        <v>248</v>
      </c>
      <c r="H5" s="143">
        <v>0.5</v>
      </c>
      <c r="I5" s="143">
        <v>0.19634954084936207</v>
      </c>
      <c r="J5" s="145"/>
      <c r="M5" s="98" t="str">
        <f>IF(A5="","",A5&amp;" ("&amp;SUBSTITUTE(SUBSTITUTE(SUBSTITUTE(C5,CHAR(160),"")," ",""),CHAR(34),"")&amp;"-in) - "&amp;IF(UPPER(TRIM(Calculator!$D$28))="KV","Kv "&amp;TEXT(E5,"0.0"),"Cv "&amp;TEXT(D5,"0.0")))</f>
        <v>B2050VS-15 (0.5-in) - Cv 15.0</v>
      </c>
      <c r="O5" s="158">
        <v>1.25</v>
      </c>
      <c r="P5" s="134"/>
      <c r="Q5" s="135">
        <v>1</v>
      </c>
      <c r="R5" s="97">
        <f t="shared" si="0"/>
        <v>0.78539816339744828</v>
      </c>
    </row>
    <row r="6" spans="1:19" s="98" customFormat="1" ht="15" customHeight="1" x14ac:dyDescent="0.3">
      <c r="A6" s="136" t="s">
        <v>240</v>
      </c>
      <c r="B6" s="98" t="s">
        <v>248</v>
      </c>
      <c r="C6" s="141">
        <v>0.75</v>
      </c>
      <c r="D6" s="148">
        <v>30</v>
      </c>
      <c r="E6" s="148">
        <v>25.95</v>
      </c>
      <c r="F6" s="142">
        <v>35</v>
      </c>
      <c r="G6" s="98" t="s">
        <v>248</v>
      </c>
      <c r="H6" s="143">
        <v>0.68</v>
      </c>
      <c r="I6" s="143">
        <v>0.36316811075498018</v>
      </c>
      <c r="J6" s="145"/>
      <c r="M6" s="98" t="str">
        <f>IF(A6="","",A6&amp;" ("&amp;SUBSTITUTE(SUBSTITUTE(SUBSTITUTE(C6,CHAR(160),"")," ",""),CHAR(34),"")&amp;"-in) - "&amp;IF(UPPER(TRIM(Calculator!$D$28))="KV","Kv "&amp;TEXT(E6,"0.0"),"Cv "&amp;TEXT(D6,"0.0")))</f>
        <v>B219VS  (0.75-in) - Cv 30.0</v>
      </c>
      <c r="O6" s="158">
        <v>1.5</v>
      </c>
      <c r="P6" s="134"/>
      <c r="Q6" s="135">
        <v>1.25</v>
      </c>
      <c r="R6" s="97">
        <f t="shared" si="0"/>
        <v>1.227184630308513</v>
      </c>
    </row>
    <row r="7" spans="1:19" s="98" customFormat="1" ht="15" customHeight="1" x14ac:dyDescent="0.3">
      <c r="A7" s="136" t="s">
        <v>241</v>
      </c>
      <c r="B7" s="98" t="s">
        <v>248</v>
      </c>
      <c r="C7" s="141">
        <v>0.75</v>
      </c>
      <c r="D7" s="148">
        <v>51</v>
      </c>
      <c r="E7" s="148">
        <v>44.115000000000002</v>
      </c>
      <c r="F7" s="142">
        <v>35</v>
      </c>
      <c r="G7" s="98" t="s">
        <v>248</v>
      </c>
      <c r="H7" s="143">
        <v>0.86</v>
      </c>
      <c r="I7" s="143">
        <v>0.58088048164875272</v>
      </c>
      <c r="J7" s="145"/>
      <c r="M7" s="98" t="str">
        <f>IF(A7="","",A7&amp;" ("&amp;SUBSTITUTE(SUBSTITUTE(SUBSTITUTE(C7,CHAR(160),"")," ",""),CHAR(34),"")&amp;"-in) - "&amp;IF(UPPER(TRIM(Calculator!$D$28))="KV","Kv "&amp;TEXT(E7,"0.0"),"Cv "&amp;TEXT(D7,"0.0")))</f>
        <v>B220VS  (0.75-in) - Cv 51.0</v>
      </c>
      <c r="O7" s="158">
        <v>2</v>
      </c>
      <c r="P7" s="134"/>
      <c r="Q7" s="135">
        <v>1.5</v>
      </c>
      <c r="R7" s="97">
        <f t="shared" si="0"/>
        <v>1.7671458676442586</v>
      </c>
    </row>
    <row r="8" spans="1:19" s="98" customFormat="1" ht="15" customHeight="1" x14ac:dyDescent="0.3">
      <c r="A8" s="136" t="s">
        <v>242</v>
      </c>
      <c r="B8" s="98" t="s">
        <v>248</v>
      </c>
      <c r="C8" s="141">
        <v>1</v>
      </c>
      <c r="D8" s="148">
        <v>43</v>
      </c>
      <c r="E8" s="148">
        <v>37.195</v>
      </c>
      <c r="F8" s="142">
        <v>35</v>
      </c>
      <c r="G8" s="98" t="s">
        <v>248</v>
      </c>
      <c r="H8" s="143">
        <v>0.87</v>
      </c>
      <c r="I8" s="143">
        <v>0.59446786987552858</v>
      </c>
      <c r="J8" s="145"/>
      <c r="M8" s="98" t="str">
        <f>IF(A8="","",A8&amp;" ("&amp;SUBSTITUTE(SUBSTITUTE(SUBSTITUTE(C8,CHAR(160),"")," ",""),CHAR(34),"")&amp;"-in) - "&amp;IF(UPPER(TRIM(Calculator!$D$28))="KV","Kv "&amp;TEXT(E8,"0.0"),"Cv "&amp;TEXT(D8,"0.0")))</f>
        <v>B224VS  (1-in) - Cv 43.0</v>
      </c>
      <c r="O8" s="158">
        <v>2.5</v>
      </c>
      <c r="P8" s="134"/>
      <c r="Q8" s="135">
        <v>2</v>
      </c>
      <c r="R8" s="97">
        <f t="shared" si="0"/>
        <v>3.1415926535897931</v>
      </c>
    </row>
    <row r="9" spans="1:19" s="98" customFormat="1" ht="15" customHeight="1" x14ac:dyDescent="0.3">
      <c r="A9" s="136" t="s">
        <v>243</v>
      </c>
      <c r="B9" s="98" t="s">
        <v>248</v>
      </c>
      <c r="C9" s="141">
        <v>1</v>
      </c>
      <c r="D9" s="148">
        <v>68</v>
      </c>
      <c r="E9" s="148">
        <v>58.82</v>
      </c>
      <c r="F9" s="142">
        <v>35</v>
      </c>
      <c r="G9" s="98" t="s">
        <v>248</v>
      </c>
      <c r="H9" s="143">
        <v>1</v>
      </c>
      <c r="I9" s="143">
        <v>0.78539816339744828</v>
      </c>
      <c r="J9" s="145"/>
      <c r="M9" s="98" t="str">
        <f>IF(A9="","",A9&amp;" ("&amp;SUBSTITUTE(SUBSTITUTE(SUBSTITUTE(C9,CHAR(160),"")," ",""),CHAR(34),"")&amp;"-in) - "&amp;IF(UPPER(TRIM(Calculator!$D$28))="KV","Kv "&amp;TEXT(E9,"0.0"),"Cv "&amp;TEXT(D9,"0.0")))</f>
        <v>B225VS  (1-in) - Cv 68.0</v>
      </c>
      <c r="O9" s="158">
        <v>3</v>
      </c>
      <c r="P9" s="134"/>
      <c r="Q9" s="135">
        <v>2.5</v>
      </c>
      <c r="R9" s="97">
        <f t="shared" si="0"/>
        <v>4.908738521234052</v>
      </c>
    </row>
    <row r="10" spans="1:19" s="98" customFormat="1" ht="15" customHeight="1" x14ac:dyDescent="0.3">
      <c r="A10" s="136" t="s">
        <v>244</v>
      </c>
      <c r="B10" s="98" t="s">
        <v>248</v>
      </c>
      <c r="C10" s="141">
        <v>1.25</v>
      </c>
      <c r="D10" s="148">
        <v>48</v>
      </c>
      <c r="E10" s="148">
        <v>41.519999999999996</v>
      </c>
      <c r="F10" s="142">
        <v>35</v>
      </c>
      <c r="G10" s="98" t="s">
        <v>248</v>
      </c>
      <c r="H10" s="143">
        <v>1</v>
      </c>
      <c r="I10" s="143">
        <v>0.78539816339744828</v>
      </c>
      <c r="J10" s="145"/>
      <c r="M10" s="98" t="str">
        <f>IF(A10="","",A10&amp;" ("&amp;SUBSTITUTE(SUBSTITUTE(SUBSTITUTE(C10,CHAR(160),"")," ",""),CHAR(34),"")&amp;"-in) - "&amp;IF(UPPER(TRIM(Calculator!$D$28))="KV","Kv "&amp;TEXT(E10,"0.0"),"Cv "&amp;TEXT(D10,"0.0")))</f>
        <v>B232VS  (1.25-in) - Cv 48.0</v>
      </c>
      <c r="O10" s="158">
        <v>4</v>
      </c>
      <c r="P10" s="134"/>
      <c r="Q10" s="135">
        <v>3</v>
      </c>
      <c r="R10" s="97">
        <f t="shared" si="0"/>
        <v>7.0685834705770345</v>
      </c>
    </row>
    <row r="11" spans="1:19" s="98" customFormat="1" ht="15" customHeight="1" x14ac:dyDescent="0.3">
      <c r="A11" s="136" t="s">
        <v>245</v>
      </c>
      <c r="B11" s="98" t="s">
        <v>248</v>
      </c>
      <c r="C11" s="141">
        <v>1.5</v>
      </c>
      <c r="D11" s="148">
        <v>84</v>
      </c>
      <c r="E11" s="148">
        <v>72.66</v>
      </c>
      <c r="F11" s="142">
        <v>35</v>
      </c>
      <c r="G11" s="98" t="s">
        <v>248</v>
      </c>
      <c r="H11" s="143">
        <v>1.25</v>
      </c>
      <c r="I11" s="143">
        <v>1.227184630308513</v>
      </c>
      <c r="J11" s="145"/>
      <c r="M11" s="98" t="str">
        <f>IF(A11="","",A11&amp;" ("&amp;SUBSTITUTE(SUBSTITUTE(SUBSTITUTE(C11,CHAR(160),"")," ",""),CHAR(34),"")&amp;"-in) - "&amp;IF(UPPER(TRIM(Calculator!$D$28))="KV","Kv "&amp;TEXT(E11,"0.0"),"Cv "&amp;TEXT(D11,"0.0")))</f>
        <v>B239VS  (1.5-in) - Cv 84.0</v>
      </c>
      <c r="O11" s="158">
        <v>5</v>
      </c>
      <c r="P11" s="134"/>
      <c r="Q11" s="135">
        <v>4</v>
      </c>
      <c r="R11" s="97">
        <f t="shared" si="0"/>
        <v>12.566370614359172</v>
      </c>
    </row>
    <row r="12" spans="1:19" s="98" customFormat="1" ht="15" customHeight="1" x14ac:dyDescent="0.3">
      <c r="A12" s="136" t="s">
        <v>246</v>
      </c>
      <c r="B12" s="98" t="s">
        <v>248</v>
      </c>
      <c r="C12" s="141">
        <v>1.5</v>
      </c>
      <c r="D12" s="148">
        <v>177</v>
      </c>
      <c r="E12" s="148">
        <v>153.10499999999999</v>
      </c>
      <c r="F12" s="142">
        <v>35</v>
      </c>
      <c r="G12" s="98" t="s">
        <v>248</v>
      </c>
      <c r="H12" s="143">
        <v>1.5</v>
      </c>
      <c r="I12" s="143">
        <v>1.7671458676442586</v>
      </c>
      <c r="J12" s="145"/>
      <c r="M12" s="98" t="str">
        <f>IF(A12="","",A12&amp;" ("&amp;SUBSTITUTE(SUBSTITUTE(SUBSTITUTE(C12,CHAR(160),"")," ",""),CHAR(34),"")&amp;"-in) - "&amp;IF(UPPER(TRIM(Calculator!$D$28))="KV","Kv "&amp;TEXT(E12,"0.0"),"Cv "&amp;TEXT(D12,"0.0")))</f>
        <v>B240VS  (1.5-in) - Cv 177.0</v>
      </c>
      <c r="O12" s="158">
        <v>6</v>
      </c>
      <c r="P12" s="134"/>
      <c r="Q12" s="135">
        <v>4.75</v>
      </c>
      <c r="R12" s="97">
        <f t="shared" si="0"/>
        <v>17.720546061654925</v>
      </c>
    </row>
    <row r="13" spans="1:19" s="98" customFormat="1" ht="15" customHeight="1" x14ac:dyDescent="0.3">
      <c r="A13" s="136" t="s">
        <v>247</v>
      </c>
      <c r="B13" s="98" t="s">
        <v>248</v>
      </c>
      <c r="C13" s="141">
        <v>2</v>
      </c>
      <c r="D13" s="148">
        <v>108</v>
      </c>
      <c r="E13" s="148">
        <v>93.42</v>
      </c>
      <c r="F13" s="142">
        <v>35</v>
      </c>
      <c r="G13" s="98" t="s">
        <v>248</v>
      </c>
      <c r="H13" s="143">
        <v>1.5</v>
      </c>
      <c r="I13" s="143">
        <v>1.7671458676442586</v>
      </c>
      <c r="J13" s="145"/>
      <c r="M13" s="98" t="str">
        <f>IF(A13="","",A13&amp;" ("&amp;SUBSTITUTE(SUBSTITUTE(SUBSTITUTE(C13,CHAR(160),"")," ",""),CHAR(34),"")&amp;"-in) - "&amp;IF(UPPER(TRIM(Calculator!$D$28))="KV","Kv "&amp;TEXT(E13,"0.0"),"Cv "&amp;TEXT(D13,"0.0")))</f>
        <v>B249VS  (2-in) - Cv 108.0</v>
      </c>
      <c r="O13" s="159">
        <v>8</v>
      </c>
      <c r="Q13" s="106">
        <v>6.5</v>
      </c>
      <c r="R13" s="97">
        <f t="shared" si="0"/>
        <v>33.183072403542191</v>
      </c>
    </row>
    <row r="14" spans="1:19" s="98" customFormat="1" ht="15" customHeight="1" x14ac:dyDescent="0.3">
      <c r="A14" s="136" t="s">
        <v>147</v>
      </c>
      <c r="B14" s="98" t="s">
        <v>249</v>
      </c>
      <c r="C14" s="141">
        <v>0.5</v>
      </c>
      <c r="D14" s="148">
        <v>15</v>
      </c>
      <c r="E14" s="148">
        <v>12.975</v>
      </c>
      <c r="F14" s="142">
        <v>50</v>
      </c>
      <c r="G14" s="98" t="s">
        <v>249</v>
      </c>
      <c r="H14" s="143">
        <v>0.5</v>
      </c>
      <c r="I14" s="143">
        <v>0.19634954084936207</v>
      </c>
      <c r="J14" s="145"/>
      <c r="M14" s="98" t="str">
        <f>IF(A14="","",A14&amp;" ("&amp;SUBSTITUTE(SUBSTITUTE(SUBSTITUTE(C14,CHAR(160),"")," ",""),CHAR(34),"")&amp;"-in) - "&amp;IF(UPPER(TRIM(Calculator!$D$28))="KV","Kv "&amp;TEXT(E14,"0.0"),"Cv "&amp;TEXT(D14,"0.0")))</f>
        <v>B2050VSS-15 (0.5-in) - Cv 15.0</v>
      </c>
      <c r="O14" s="159">
        <v>10</v>
      </c>
      <c r="Q14" s="106">
        <v>8.5</v>
      </c>
      <c r="R14" s="97">
        <f t="shared" si="0"/>
        <v>56.745017305465637</v>
      </c>
    </row>
    <row r="15" spans="1:19" s="98" customFormat="1" ht="15" customHeight="1" x14ac:dyDescent="0.3">
      <c r="A15" s="136" t="s">
        <v>117</v>
      </c>
      <c r="B15" s="98" t="s">
        <v>249</v>
      </c>
      <c r="C15" s="141">
        <v>0.75</v>
      </c>
      <c r="D15" s="148">
        <v>30</v>
      </c>
      <c r="E15" s="148">
        <v>25.95</v>
      </c>
      <c r="F15" s="142">
        <v>50</v>
      </c>
      <c r="G15" s="98" t="s">
        <v>249</v>
      </c>
      <c r="H15" s="143">
        <v>0.68</v>
      </c>
      <c r="I15" s="143">
        <v>0.36316811075498018</v>
      </c>
      <c r="J15" s="145"/>
      <c r="M15" s="98" t="str">
        <f>IF(A15="","",A15&amp;" ("&amp;SUBSTITUTE(SUBSTITUTE(SUBSTITUTE(C15,CHAR(160),"")," ",""),CHAR(34),"")&amp;"-in) - "&amp;IF(UPPER(TRIM(Calculator!$D$28))="KV","Kv "&amp;TEXT(E15,"0.0"),"Cv "&amp;TEXT(D15,"0.0")))</f>
        <v>B219VSS (0.75-in) - Cv 30.0</v>
      </c>
    </row>
    <row r="16" spans="1:19" s="98" customFormat="1" ht="15" customHeight="1" x14ac:dyDescent="0.3">
      <c r="A16" s="136" t="s">
        <v>131</v>
      </c>
      <c r="B16" s="98" t="s">
        <v>249</v>
      </c>
      <c r="C16" s="141">
        <v>1</v>
      </c>
      <c r="D16" s="148">
        <v>43</v>
      </c>
      <c r="E16" s="148">
        <v>37.195</v>
      </c>
      <c r="F16" s="142">
        <v>50</v>
      </c>
      <c r="G16" s="98" t="s">
        <v>249</v>
      </c>
      <c r="H16" s="143">
        <v>0.87</v>
      </c>
      <c r="I16" s="143">
        <v>0.59446786987552858</v>
      </c>
      <c r="J16" s="145"/>
      <c r="M16" s="98" t="str">
        <f>IF(A16="","",A16&amp;" ("&amp;SUBSTITUTE(SUBSTITUTE(SUBSTITUTE(C16,CHAR(160),"")," ",""),CHAR(34),"")&amp;"-in) - "&amp;IF(UPPER(TRIM(Calculator!$D$28))="KV","Kv "&amp;TEXT(E16,"0.0"),"Cv "&amp;TEXT(D16,"0.0")))</f>
        <v>B224VSS (1-in) - Cv 43.0</v>
      </c>
    </row>
    <row r="17" spans="1:13" s="98" customFormat="1" ht="15" customHeight="1" x14ac:dyDescent="0.3">
      <c r="A17" s="136" t="s">
        <v>120</v>
      </c>
      <c r="B17" s="98" t="s">
        <v>249</v>
      </c>
      <c r="C17" s="141">
        <v>2</v>
      </c>
      <c r="D17" s="148">
        <v>108</v>
      </c>
      <c r="E17" s="148">
        <v>93.42</v>
      </c>
      <c r="F17" s="142">
        <v>50</v>
      </c>
      <c r="G17" s="98" t="s">
        <v>249</v>
      </c>
      <c r="H17" s="143">
        <v>1.5</v>
      </c>
      <c r="I17" s="143">
        <v>1.7671458676442586</v>
      </c>
      <c r="J17" s="145"/>
      <c r="M17" s="98" t="str">
        <f>IF(A17="","",A17&amp;" ("&amp;SUBSTITUTE(SUBSTITUTE(SUBSTITUTE(C17,CHAR(160),"")," ",""),CHAR(34),"")&amp;"-in) - "&amp;IF(UPPER(TRIM(Calculator!$D$28))="KV","Kv "&amp;TEXT(E17,"0.0"),"Cv "&amp;TEXT(D17,"0.0")))</f>
        <v>B249VSS (2-in) - Cv 108.0</v>
      </c>
    </row>
    <row r="18" spans="1:13" s="98" customFormat="1" ht="15" customHeight="1" x14ac:dyDescent="0.3">
      <c r="A18" s="136" t="s">
        <v>146</v>
      </c>
      <c r="B18" s="98" t="s">
        <v>110</v>
      </c>
      <c r="C18" s="141">
        <v>0.5</v>
      </c>
      <c r="D18" s="148">
        <v>0.28999999999999998</v>
      </c>
      <c r="E18" s="148">
        <v>0.25084999999999996</v>
      </c>
      <c r="F18" s="142">
        <v>15</v>
      </c>
      <c r="G18" s="98" t="s">
        <v>110</v>
      </c>
      <c r="H18" s="143">
        <v>0.42322834645669294</v>
      </c>
      <c r="I18" s="143">
        <v>0.14068227301385336</v>
      </c>
      <c r="J18" s="143">
        <v>8.3000000000000001E-3</v>
      </c>
      <c r="M18" s="98" t="str">
        <f>IF(A18="","",A18&amp;" ("&amp;SUBSTITUTE(SUBSTITUTE(SUBSTITUTE(C18,CHAR(160),"")," ",""),CHAR(34),"")&amp;"-in) - "&amp;IF(UPPER(TRIM(Calculator!$D$28))="KV","Kv "&amp;TEXT(E18,"0.0"),"Cv "&amp;TEXT(D18,"0.0")))</f>
        <v>B215HT029 (0.5-in) - Cv 0.3</v>
      </c>
    </row>
    <row r="19" spans="1:13" s="98" customFormat="1" ht="15" customHeight="1" x14ac:dyDescent="0.3">
      <c r="A19" s="136" t="s">
        <v>145</v>
      </c>
      <c r="B19" s="98" t="s">
        <v>110</v>
      </c>
      <c r="C19" s="141">
        <v>0.5</v>
      </c>
      <c r="D19" s="148">
        <v>0.46</v>
      </c>
      <c r="E19" s="148">
        <v>0.39790000000000003</v>
      </c>
      <c r="F19" s="142">
        <v>15</v>
      </c>
      <c r="G19" s="98" t="s">
        <v>110</v>
      </c>
      <c r="H19" s="143">
        <v>0.42322834645669294</v>
      </c>
      <c r="I19" s="143">
        <v>0.14068227301385336</v>
      </c>
      <c r="J19" s="143">
        <v>1.2200000000000001E-2</v>
      </c>
      <c r="M19" s="98" t="str">
        <f>IF(A19="","",A19&amp;" ("&amp;SUBSTITUTE(SUBSTITUTE(SUBSTITUTE(C19,CHAR(160),"")," ",""),CHAR(34),"")&amp;"-in) - "&amp;IF(UPPER(TRIM(Calculator!$D$28))="KV","Kv "&amp;TEXT(E19,"0.0"),"Cv "&amp;TEXT(D19,"0.0")))</f>
        <v>B215HT046 (0.5-in) - Cv 0.5</v>
      </c>
    </row>
    <row r="20" spans="1:13" s="98" customFormat="1" ht="15" customHeight="1" x14ac:dyDescent="0.3">
      <c r="A20" s="136" t="s">
        <v>144</v>
      </c>
      <c r="B20" s="98" t="s">
        <v>110</v>
      </c>
      <c r="C20" s="141">
        <v>0.5</v>
      </c>
      <c r="D20" s="148">
        <v>0.73</v>
      </c>
      <c r="E20" s="148">
        <v>0.63144999999999996</v>
      </c>
      <c r="F20" s="142">
        <v>15</v>
      </c>
      <c r="G20" s="98" t="s">
        <v>110</v>
      </c>
      <c r="H20" s="143">
        <v>0.42322834645669294</v>
      </c>
      <c r="I20" s="143">
        <v>0.14068227301385336</v>
      </c>
      <c r="J20" s="143">
        <v>1.47E-2</v>
      </c>
      <c r="M20" s="98" t="str">
        <f>IF(A20="","",A20&amp;" ("&amp;SUBSTITUTE(SUBSTITUTE(SUBSTITUTE(C20,CHAR(160),"")," ",""),CHAR(34),"")&amp;"-in) - "&amp;IF(UPPER(TRIM(Calculator!$D$28))="KV","Kv "&amp;TEXT(E20,"0.0"),"Cv "&amp;TEXT(D20,"0.0")))</f>
        <v>B215HT073 (0.5-in) - Cv 0.7</v>
      </c>
    </row>
    <row r="21" spans="1:13" s="98" customFormat="1" ht="15" customHeight="1" x14ac:dyDescent="0.3">
      <c r="A21" s="136" t="s">
        <v>143</v>
      </c>
      <c r="B21" s="98" t="s">
        <v>110</v>
      </c>
      <c r="C21" s="141">
        <v>0.5</v>
      </c>
      <c r="D21" s="148">
        <v>1.1599999999999999</v>
      </c>
      <c r="E21" s="148">
        <v>1.0033999999999998</v>
      </c>
      <c r="F21" s="142">
        <v>15</v>
      </c>
      <c r="G21" s="98" t="s">
        <v>110</v>
      </c>
      <c r="H21" s="143">
        <v>0.42322834645669294</v>
      </c>
      <c r="I21" s="143">
        <v>0.14068227301385336</v>
      </c>
      <c r="J21" s="143">
        <v>2.6599999999999999E-2</v>
      </c>
      <c r="L21" s="98" t="s">
        <v>267</v>
      </c>
      <c r="M21" s="98" t="str">
        <f>IF(A21="","",A21&amp;" ("&amp;SUBSTITUTE(SUBSTITUTE(SUBSTITUTE(C21,CHAR(160),"")," ",""),CHAR(34),"")&amp;"-in) - "&amp;IF(UPPER(TRIM(Calculator!$D$28))="KV","Kv "&amp;TEXT(E21,"0.0"),"Cv "&amp;TEXT(D21,"0.0")))</f>
        <v>B215HT116 (0.5-in) - Cv 1.2</v>
      </c>
    </row>
    <row r="22" spans="1:13" s="98" customFormat="1" ht="15" customHeight="1" x14ac:dyDescent="0.3">
      <c r="A22" s="136" t="s">
        <v>142</v>
      </c>
      <c r="B22" s="98" t="s">
        <v>110</v>
      </c>
      <c r="C22" s="141">
        <v>0.5</v>
      </c>
      <c r="D22" s="148">
        <v>1.86</v>
      </c>
      <c r="E22" s="148">
        <v>1.6089</v>
      </c>
      <c r="F22" s="142">
        <v>15</v>
      </c>
      <c r="G22" s="98" t="s">
        <v>110</v>
      </c>
      <c r="H22" s="143">
        <v>0.42322834645669294</v>
      </c>
      <c r="I22" s="143">
        <v>0.14068227301385336</v>
      </c>
      <c r="J22" s="143">
        <v>4.3299999999999998E-2</v>
      </c>
      <c r="M22" s="98" t="str">
        <f>IF(A22="","",A22&amp;" ("&amp;SUBSTITUTE(SUBSTITUTE(SUBSTITUTE(C22,CHAR(160),"")," ",""),CHAR(34),"")&amp;"-in) - "&amp;IF(UPPER(TRIM(Calculator!$D$28))="KV","Kv "&amp;TEXT(E22,"0.0"),"Cv "&amp;TEXT(D22,"0.0")))</f>
        <v>B215HT186 (0.5-in) - Cv 1.9</v>
      </c>
    </row>
    <row r="23" spans="1:13" s="98" customFormat="1" ht="15" customHeight="1" x14ac:dyDescent="0.3">
      <c r="A23" s="136" t="s">
        <v>141</v>
      </c>
      <c r="B23" s="98" t="s">
        <v>110</v>
      </c>
      <c r="C23" s="141">
        <v>0.5</v>
      </c>
      <c r="D23" s="148">
        <v>2.9</v>
      </c>
      <c r="E23" s="148">
        <v>2.5084999999999997</v>
      </c>
      <c r="F23" s="142">
        <v>15</v>
      </c>
      <c r="G23" s="98" t="s">
        <v>110</v>
      </c>
      <c r="H23" s="143">
        <v>0.42322834645669294</v>
      </c>
      <c r="I23" s="143">
        <v>0.14068227301385336</v>
      </c>
      <c r="J23" s="143">
        <v>5.4800000000000001E-2</v>
      </c>
      <c r="M23" s="98" t="str">
        <f>IF(A23="","",A23&amp;" ("&amp;SUBSTITUTE(SUBSTITUTE(SUBSTITUTE(C23,CHAR(160),"")," ",""),CHAR(34),"")&amp;"-in) - "&amp;IF(UPPER(TRIM(Calculator!$D$28))="KV","Kv "&amp;TEXT(E23,"0.0"),"Cv "&amp;TEXT(D23,"0.0")))</f>
        <v>B215HT290 (0.5-in) - Cv 2.9</v>
      </c>
    </row>
    <row r="24" spans="1:13" s="98" customFormat="1" ht="15" customHeight="1" x14ac:dyDescent="0.3">
      <c r="A24" s="136" t="s">
        <v>140</v>
      </c>
      <c r="B24" s="98" t="s">
        <v>110</v>
      </c>
      <c r="C24" s="141">
        <v>0.5</v>
      </c>
      <c r="D24" s="148">
        <v>4.55</v>
      </c>
      <c r="E24" s="148">
        <v>3.9357499999999996</v>
      </c>
      <c r="F24" s="142">
        <v>15</v>
      </c>
      <c r="G24" s="98" t="s">
        <v>110</v>
      </c>
      <c r="H24" s="143">
        <v>0.42322834645669294</v>
      </c>
      <c r="I24" s="143">
        <v>0.14068227301385336</v>
      </c>
      <c r="J24" s="143">
        <v>9.3200000000000005E-2</v>
      </c>
      <c r="M24" s="98" t="str">
        <f>IF(A24="","",A24&amp;" ("&amp;SUBSTITUTE(SUBSTITUTE(SUBSTITUTE(C24,CHAR(160),"")," ",""),CHAR(34),"")&amp;"-in) - "&amp;IF(UPPER(TRIM(Calculator!$D$28))="KV","Kv "&amp;TEXT(E24,"0.0"),"Cv "&amp;TEXT(D24,"0.0")))</f>
        <v>B215HT455 (0.5-in) - Cv 4.6</v>
      </c>
    </row>
    <row r="25" spans="1:13" s="98" customFormat="1" ht="15" customHeight="1" x14ac:dyDescent="0.3">
      <c r="A25" s="136" t="s">
        <v>115</v>
      </c>
      <c r="B25" s="98" t="s">
        <v>110</v>
      </c>
      <c r="C25" s="141">
        <v>0.75</v>
      </c>
      <c r="D25" s="148">
        <v>1.86</v>
      </c>
      <c r="E25" s="148">
        <v>1.6089</v>
      </c>
      <c r="F25" s="142">
        <v>15</v>
      </c>
      <c r="G25" s="98" t="s">
        <v>110</v>
      </c>
      <c r="H25" s="143">
        <v>0.59055118110236227</v>
      </c>
      <c r="I25" s="143">
        <v>0.27390815730117474</v>
      </c>
      <c r="J25" s="143">
        <v>4.2599999999999999E-2</v>
      </c>
      <c r="M25" s="98" t="str">
        <f>IF(A25="","",A25&amp;" ("&amp;SUBSTITUTE(SUBSTITUTE(SUBSTITUTE(C25,CHAR(160),"")," ",""),CHAR(34),"")&amp;"-in) - "&amp;IF(UPPER(TRIM(Calculator!$D$28))="KV","Kv "&amp;TEXT(E25,"0.0"),"Cv "&amp;TEXT(D25,"0.0")))</f>
        <v>B220HT186 (0.75-in) - Cv 1.9</v>
      </c>
    </row>
    <row r="26" spans="1:13" s="98" customFormat="1" ht="15" customHeight="1" x14ac:dyDescent="0.3">
      <c r="A26" s="136" t="s">
        <v>114</v>
      </c>
      <c r="B26" s="98" t="s">
        <v>110</v>
      </c>
      <c r="C26" s="141">
        <v>0.75</v>
      </c>
      <c r="D26" s="148">
        <v>2.9</v>
      </c>
      <c r="E26" s="148">
        <v>2.5084999999999997</v>
      </c>
      <c r="F26" s="142">
        <v>15</v>
      </c>
      <c r="G26" s="98" t="s">
        <v>110</v>
      </c>
      <c r="H26" s="143">
        <v>0.59055118110236227</v>
      </c>
      <c r="I26" s="143">
        <v>0.27390815730117474</v>
      </c>
      <c r="J26" s="143">
        <v>6.9000000000000006E-2</v>
      </c>
      <c r="M26" s="98" t="str">
        <f>IF(A26="","",A26&amp;" ("&amp;SUBSTITUTE(SUBSTITUTE(SUBSTITUTE(C26,CHAR(160),"")," ",""),CHAR(34),"")&amp;"-in) - "&amp;IF(UPPER(TRIM(Calculator!$D$28))="KV","Kv "&amp;TEXT(E26,"0.0"),"Cv "&amp;TEXT(D26,"0.0")))</f>
        <v>B220HT290 (0.75-in) - Cv 2.9</v>
      </c>
    </row>
    <row r="27" spans="1:13" s="98" customFormat="1" ht="15" customHeight="1" x14ac:dyDescent="0.3">
      <c r="A27" s="136" t="s">
        <v>113</v>
      </c>
      <c r="B27" s="98" t="s">
        <v>110</v>
      </c>
      <c r="C27" s="141">
        <v>0.75</v>
      </c>
      <c r="D27" s="148">
        <v>4.6399999999999997</v>
      </c>
      <c r="E27" s="148">
        <v>4.0135999999999994</v>
      </c>
      <c r="F27" s="142">
        <v>15</v>
      </c>
      <c r="G27" s="98" t="s">
        <v>110</v>
      </c>
      <c r="H27" s="143">
        <v>0.59055118110236227</v>
      </c>
      <c r="I27" s="143">
        <v>0.27390815730117474</v>
      </c>
      <c r="J27" s="143">
        <v>0.1082</v>
      </c>
      <c r="M27" s="98" t="str">
        <f>IF(A27="","",A27&amp;" ("&amp;SUBSTITUTE(SUBSTITUTE(SUBSTITUTE(C27,CHAR(160),"")," ",""),CHAR(34),"")&amp;"-in) - "&amp;IF(UPPER(TRIM(Calculator!$D$28))="KV","Kv "&amp;TEXT(E27,"0.0"),"Cv "&amp;TEXT(D27,"0.0")))</f>
        <v>B220HT464 (0.75-in) - Cv 4.6</v>
      </c>
    </row>
    <row r="28" spans="1:13" s="98" customFormat="1" ht="15" customHeight="1" x14ac:dyDescent="0.3">
      <c r="A28" s="136" t="s">
        <v>112</v>
      </c>
      <c r="B28" s="98" t="s">
        <v>110</v>
      </c>
      <c r="C28" s="141">
        <v>0.75</v>
      </c>
      <c r="D28" s="148">
        <v>7.31</v>
      </c>
      <c r="E28" s="148">
        <v>6.3231499999999992</v>
      </c>
      <c r="F28" s="142">
        <v>15</v>
      </c>
      <c r="G28" s="98" t="s">
        <v>110</v>
      </c>
      <c r="H28" s="143">
        <v>0.59055118110236227</v>
      </c>
      <c r="I28" s="143">
        <v>0.27390815730117474</v>
      </c>
      <c r="J28" s="143">
        <v>0.14760000000000001</v>
      </c>
      <c r="M28" s="98" t="str">
        <f>IF(A28="","",A28&amp;" ("&amp;SUBSTITUTE(SUBSTITUTE(SUBSTITUTE(C28,CHAR(160),"")," ",""),CHAR(34),"")&amp;"-in) - "&amp;IF(UPPER(TRIM(Calculator!$D$28))="KV","Kv "&amp;TEXT(E28,"0.0"),"Cv "&amp;TEXT(D28,"0.0")))</f>
        <v>B220HT731 (0.75-in) - Cv 7.3</v>
      </c>
    </row>
    <row r="29" spans="1:13" s="98" customFormat="1" ht="15" customHeight="1" x14ac:dyDescent="0.3">
      <c r="A29" s="136" t="s">
        <v>111</v>
      </c>
      <c r="B29" s="98" t="s">
        <v>110</v>
      </c>
      <c r="C29" s="141">
        <v>0.75</v>
      </c>
      <c r="D29" s="148">
        <v>9.2799999999999994</v>
      </c>
      <c r="E29" s="148">
        <v>8.0271999999999988</v>
      </c>
      <c r="F29" s="142">
        <v>15</v>
      </c>
      <c r="G29" s="98" t="s">
        <v>110</v>
      </c>
      <c r="H29" s="143">
        <v>0.59055118110236227</v>
      </c>
      <c r="I29" s="143">
        <v>0.27390815730117474</v>
      </c>
      <c r="J29" s="143">
        <v>0.15620000000000001</v>
      </c>
      <c r="M29" s="98" t="str">
        <f>IF(A29="","",A29&amp;" ("&amp;SUBSTITUTE(SUBSTITUTE(SUBSTITUTE(C29,CHAR(160),"")," ",""),CHAR(34),"")&amp;"-in) - "&amp;IF(UPPER(TRIM(Calculator!$D$28))="KV","Kv "&amp;TEXT(E29,"0.0"),"Cv "&amp;TEXT(D29,"0.0")))</f>
        <v>B220HT928 (0.75-in) - Cv 9.3</v>
      </c>
    </row>
    <row r="30" spans="1:13" s="98" customFormat="1" ht="15" customHeight="1" x14ac:dyDescent="0.3">
      <c r="A30" s="136" t="s">
        <v>116</v>
      </c>
      <c r="B30" s="98" t="s">
        <v>110</v>
      </c>
      <c r="C30" s="141">
        <v>0.75</v>
      </c>
      <c r="D30" s="148">
        <v>13.2</v>
      </c>
      <c r="E30" s="148">
        <v>11.417999999999999</v>
      </c>
      <c r="F30" s="142">
        <v>15</v>
      </c>
      <c r="G30" s="98" t="s">
        <v>110</v>
      </c>
      <c r="H30" s="143">
        <v>0.59055118110236227</v>
      </c>
      <c r="I30" s="143">
        <v>0.27390815730117474</v>
      </c>
      <c r="J30" s="143">
        <v>0.25600000000000001</v>
      </c>
      <c r="M30" s="98" t="str">
        <f>IF(A30="","",A30&amp;" ("&amp;SUBSTITUTE(SUBSTITUTE(SUBSTITUTE(C30,CHAR(160),"")," ",""),CHAR(34),"")&amp;"-in) - "&amp;IF(UPPER(TRIM(Calculator!$D$28))="KV","Kv "&amp;TEXT(E30,"0.0"),"Cv "&amp;TEXT(D30,"0.0")))</f>
        <v>B220HT1320 (0.75-in) - Cv 13.2</v>
      </c>
    </row>
    <row r="31" spans="1:13" s="98" customFormat="1" ht="15" customHeight="1" x14ac:dyDescent="0.3">
      <c r="A31" s="136" t="s">
        <v>127</v>
      </c>
      <c r="B31" s="98" t="s">
        <v>110</v>
      </c>
      <c r="C31" s="141">
        <v>1</v>
      </c>
      <c r="D31" s="148">
        <v>4.6399999999999997</v>
      </c>
      <c r="E31" s="148">
        <v>4.0135999999999994</v>
      </c>
      <c r="F31" s="142">
        <v>15</v>
      </c>
      <c r="G31" s="98" t="s">
        <v>110</v>
      </c>
      <c r="H31" s="143">
        <v>0.78740157480314965</v>
      </c>
      <c r="I31" s="143">
        <v>0.48694783520208834</v>
      </c>
      <c r="J31" s="143">
        <v>0.1037</v>
      </c>
      <c r="M31" s="98" t="str">
        <f>IF(A31="","",A31&amp;" ("&amp;SUBSTITUTE(SUBSTITUTE(SUBSTITUTE(C31,CHAR(160),"")," ",""),CHAR(34),"")&amp;"-in) - "&amp;IF(UPPER(TRIM(Calculator!$D$28))="KV","Kv "&amp;TEXT(E31,"0.0"),"Cv "&amp;TEXT(D31,"0.0")))</f>
        <v>B225HT464 (1-in) - Cv 4.6</v>
      </c>
    </row>
    <row r="32" spans="1:13" s="98" customFormat="1" ht="15" customHeight="1" x14ac:dyDescent="0.3">
      <c r="A32" s="136" t="s">
        <v>126</v>
      </c>
      <c r="B32" s="98" t="s">
        <v>110</v>
      </c>
      <c r="C32" s="141">
        <v>1</v>
      </c>
      <c r="D32" s="148">
        <v>7.31</v>
      </c>
      <c r="E32" s="148">
        <v>6.3231499999999992</v>
      </c>
      <c r="F32" s="142">
        <v>15</v>
      </c>
      <c r="G32" s="98" t="s">
        <v>110</v>
      </c>
      <c r="H32" s="143">
        <v>0.78740157480314965</v>
      </c>
      <c r="I32" s="143">
        <v>0.48694783520208834</v>
      </c>
      <c r="J32" s="143">
        <v>0.15310000000000001</v>
      </c>
      <c r="M32" s="98" t="str">
        <f>IF(A32="","",A32&amp;" ("&amp;SUBSTITUTE(SUBSTITUTE(SUBSTITUTE(C32,CHAR(160),"")," ",""),CHAR(34),"")&amp;"-in) - "&amp;IF(UPPER(TRIM(Calculator!$D$28))="KV","Kv "&amp;TEXT(E32,"0.0"),"Cv "&amp;TEXT(D32,"0.0")))</f>
        <v>B225HT731 (1-in) - Cv 7.3</v>
      </c>
    </row>
    <row r="33" spans="1:13" s="98" customFormat="1" ht="15" customHeight="1" x14ac:dyDescent="0.3">
      <c r="A33" s="136" t="s">
        <v>130</v>
      </c>
      <c r="B33" s="98" t="s">
        <v>110</v>
      </c>
      <c r="C33" s="141">
        <v>1</v>
      </c>
      <c r="D33" s="148">
        <v>11.6</v>
      </c>
      <c r="E33" s="148">
        <v>10.033999999999999</v>
      </c>
      <c r="F33" s="142">
        <v>15</v>
      </c>
      <c r="G33" s="98" t="s">
        <v>110</v>
      </c>
      <c r="H33" s="143">
        <v>0.78740157480314965</v>
      </c>
      <c r="I33" s="143">
        <v>0.48694783520208834</v>
      </c>
      <c r="J33" s="143">
        <v>0.26400000000000001</v>
      </c>
      <c r="M33" s="98" t="str">
        <f>IF(A33="","",A33&amp;" ("&amp;SUBSTITUTE(SUBSTITUTE(SUBSTITUTE(C33,CHAR(160),"")," ",""),CHAR(34),"")&amp;"-in) - "&amp;IF(UPPER(TRIM(Calculator!$D$28))="KV","Kv "&amp;TEXT(E33,"0.0"),"Cv "&amp;TEXT(D33,"0.0")))</f>
        <v>B225HT1160 (1-in) - Cv 11.6</v>
      </c>
    </row>
    <row r="34" spans="1:13" s="98" customFormat="1" ht="15" customHeight="1" x14ac:dyDescent="0.3">
      <c r="A34" s="136" t="s">
        <v>129</v>
      </c>
      <c r="B34" s="98" t="s">
        <v>110</v>
      </c>
      <c r="C34" s="141">
        <v>1</v>
      </c>
      <c r="D34" s="148">
        <v>18.559999999999999</v>
      </c>
      <c r="E34" s="148">
        <v>16.002500000000001</v>
      </c>
      <c r="F34" s="142">
        <v>15</v>
      </c>
      <c r="G34" s="98" t="s">
        <v>110</v>
      </c>
      <c r="H34" s="143">
        <v>0.78740157480314965</v>
      </c>
      <c r="I34" s="143">
        <v>0.48694783520208834</v>
      </c>
      <c r="J34" s="143">
        <v>0.3805</v>
      </c>
      <c r="M34" s="98" t="str">
        <f>IF(A34="","",A34&amp;" ("&amp;SUBSTITUTE(SUBSTITUTE(SUBSTITUTE(C34,CHAR(160),"")," ",""),CHAR(34),"")&amp;"-in) - "&amp;IF(UPPER(TRIM(Calculator!$D$28))="KV","Kv "&amp;TEXT(E34,"0.0"),"Cv "&amp;TEXT(D34,"0.0")))</f>
        <v>B225HT1856 (1-in) - Cv 18.6</v>
      </c>
    </row>
    <row r="35" spans="1:13" s="98" customFormat="1" ht="15" customHeight="1" x14ac:dyDescent="0.3">
      <c r="A35" s="136" t="s">
        <v>128</v>
      </c>
      <c r="B35" s="98" t="s">
        <v>110</v>
      </c>
      <c r="C35" s="141">
        <v>1</v>
      </c>
      <c r="D35" s="148">
        <v>28</v>
      </c>
      <c r="E35" s="148">
        <v>24.22</v>
      </c>
      <c r="F35" s="142">
        <v>15</v>
      </c>
      <c r="G35" s="98" t="s">
        <v>110</v>
      </c>
      <c r="H35" s="143">
        <v>0.78740157480314965</v>
      </c>
      <c r="I35" s="143">
        <v>0.48694783520208834</v>
      </c>
      <c r="J35" s="143">
        <v>0.4395</v>
      </c>
      <c r="M35" s="98" t="str">
        <f>IF(A35="","",A35&amp;" ("&amp;SUBSTITUTE(SUBSTITUTE(SUBSTITUTE(C35,CHAR(160),"")," ",""),CHAR(34),"")&amp;"-in) - "&amp;IF(UPPER(TRIM(Calculator!$D$28))="KV","Kv "&amp;TEXT(E35,"0.0"),"Cv "&amp;TEXT(D35,"0.0")))</f>
        <v>B225HT2800 (1-in) - Cv 28.0</v>
      </c>
    </row>
    <row r="36" spans="1:13" s="98" customFormat="1" ht="15" customHeight="1" x14ac:dyDescent="0.3">
      <c r="A36" s="136" t="s">
        <v>132</v>
      </c>
      <c r="B36" s="98" t="s">
        <v>250</v>
      </c>
      <c r="C36" s="141">
        <v>1</v>
      </c>
      <c r="D36" s="148">
        <v>24</v>
      </c>
      <c r="E36" s="148">
        <v>20.759999999999998</v>
      </c>
      <c r="F36" s="142">
        <v>150</v>
      </c>
      <c r="G36" s="98" t="s">
        <v>250</v>
      </c>
      <c r="H36" s="153">
        <v>0.93048529833625571</v>
      </c>
      <c r="I36" s="152">
        <v>0.68</v>
      </c>
      <c r="J36" s="145"/>
      <c r="M36" s="98" t="str">
        <f>IF(A36="","",A36&amp;" ("&amp;SUBSTITUTE(SUBSTITUTE(SUBSTITUTE(C36,CHAR(160),"")," ",""),CHAR(34),"")&amp;"-in) - "&amp;IF(UPPER(TRIM(Calculator!$D$28))="KV","Kv "&amp;TEXT(E36,"0.0"),"Cv "&amp;TEXT(D36,"0.0")))</f>
        <v>B2100VB-024 (1-in) - Cv 24.0</v>
      </c>
    </row>
    <row r="37" spans="1:13" s="98" customFormat="1" ht="15" customHeight="1" x14ac:dyDescent="0.3">
      <c r="A37" s="138" t="s">
        <v>135</v>
      </c>
      <c r="B37" s="98" t="s">
        <v>250</v>
      </c>
      <c r="C37" s="142">
        <v>1.5</v>
      </c>
      <c r="D37" s="148">
        <v>55</v>
      </c>
      <c r="E37" s="148">
        <v>47.575000000000003</v>
      </c>
      <c r="F37" s="142">
        <v>150</v>
      </c>
      <c r="G37" s="98" t="s">
        <v>250</v>
      </c>
      <c r="H37" s="153">
        <v>1.5594510349620345</v>
      </c>
      <c r="I37" s="152">
        <v>1.91</v>
      </c>
      <c r="J37" s="145"/>
      <c r="M37" s="98" t="str">
        <f>IF(A37="","",A37&amp;" ("&amp;SUBSTITUTE(SUBSTITUTE(SUBSTITUTE(C37,CHAR(160),"")," ",""),CHAR(34),"")&amp;"-in) - "&amp;IF(UPPER(TRIM(Calculator!$D$28))="KV","Kv "&amp;TEXT(E37,"0.0"),"Cv "&amp;TEXT(D37,"0.0")))</f>
        <v>B2150VB-055 (1.5-in) - Cv 55.0</v>
      </c>
    </row>
    <row r="38" spans="1:13" s="98" customFormat="1" ht="15" customHeight="1" x14ac:dyDescent="0.3">
      <c r="A38" s="138" t="s">
        <v>121</v>
      </c>
      <c r="B38" s="98" t="s">
        <v>250</v>
      </c>
      <c r="C38" s="142">
        <v>2</v>
      </c>
      <c r="D38" s="148">
        <v>77</v>
      </c>
      <c r="E38" s="148">
        <v>66.605000000000004</v>
      </c>
      <c r="F38" s="142">
        <v>150</v>
      </c>
      <c r="G38" s="98" t="s">
        <v>250</v>
      </c>
      <c r="H38" s="153">
        <v>1.9544100476116797</v>
      </c>
      <c r="I38" s="152">
        <v>3</v>
      </c>
      <c r="J38" s="145"/>
      <c r="M38" s="98" t="str">
        <f>IF(A38="","",A38&amp;" ("&amp;SUBSTITUTE(SUBSTITUTE(SUBSTITUTE(C38,CHAR(160),"")," ",""),CHAR(34),"")&amp;"-in) - "&amp;IF(UPPER(TRIM(Calculator!$D$28))="KV","Kv "&amp;TEXT(E38,"0.0"),"Cv "&amp;TEXT(D38,"0.0")))</f>
        <v>B2200VB-077 (2-in) - Cv 77.0</v>
      </c>
    </row>
    <row r="39" spans="1:13" s="98" customFormat="1" ht="15" customHeight="1" x14ac:dyDescent="0.3">
      <c r="A39" s="138" t="s">
        <v>118</v>
      </c>
      <c r="B39" s="98" t="s">
        <v>250</v>
      </c>
      <c r="C39" s="142">
        <v>3</v>
      </c>
      <c r="D39" s="148">
        <v>207</v>
      </c>
      <c r="E39" s="148">
        <v>179.05500000000001</v>
      </c>
      <c r="F39" s="142">
        <v>150</v>
      </c>
      <c r="G39" s="98" t="s">
        <v>250</v>
      </c>
      <c r="H39" s="153">
        <v>2.5928179257714299</v>
      </c>
      <c r="I39" s="152">
        <v>5.28</v>
      </c>
      <c r="J39" s="145"/>
      <c r="M39" s="98" t="str">
        <f>IF(A39="","",A39&amp;" ("&amp;SUBSTITUTE(SUBSTITUTE(SUBSTITUTE(C39,CHAR(160),"")," ",""),CHAR(34),"")&amp;"-in) - "&amp;IF(UPPER(TRIM(Calculator!$D$28))="KV","Kv "&amp;TEXT(E39,"0.0"),"Cv "&amp;TEXT(D39,"0.0")))</f>
        <v>B6300VB-207 (3-in) - Cv 207.0</v>
      </c>
    </row>
    <row r="40" spans="1:13" s="98" customFormat="1" ht="15" customHeight="1" x14ac:dyDescent="0.3">
      <c r="A40" s="138" t="s">
        <v>107</v>
      </c>
      <c r="B40" s="98" t="s">
        <v>250</v>
      </c>
      <c r="C40" s="142">
        <v>4</v>
      </c>
      <c r="D40" s="148">
        <v>350</v>
      </c>
      <c r="E40" s="148">
        <v>302.75</v>
      </c>
      <c r="F40" s="142">
        <v>150</v>
      </c>
      <c r="G40" s="98" t="s">
        <v>250</v>
      </c>
      <c r="H40" s="153">
        <v>3.0270000000000001</v>
      </c>
      <c r="I40" s="152">
        <v>7.19</v>
      </c>
      <c r="J40" s="145"/>
      <c r="M40" s="98" t="str">
        <f>IF(A40="","",A40&amp;" ("&amp;SUBSTITUTE(SUBSTITUTE(SUBSTITUTE(C40,CHAR(160),"")," ",""),CHAR(34),"")&amp;"-in) - "&amp;IF(UPPER(TRIM(Calculator!$D$28))="KV","Kv "&amp;TEXT(E40,"0.0"),"Cv "&amp;TEXT(D40,"0.0")))</f>
        <v>B6400VB-350 (4-in) - Cv 350.0</v>
      </c>
    </row>
    <row r="41" spans="1:13" s="98" customFormat="1" ht="15" customHeight="1" x14ac:dyDescent="0.3">
      <c r="A41" s="138" t="s">
        <v>106</v>
      </c>
      <c r="B41" s="98" t="s">
        <v>250</v>
      </c>
      <c r="C41" s="142">
        <v>6</v>
      </c>
      <c r="D41" s="148">
        <v>507</v>
      </c>
      <c r="E41" s="148">
        <v>438.55500000000001</v>
      </c>
      <c r="F41" s="142">
        <v>150</v>
      </c>
      <c r="G41" s="98" t="s">
        <v>250</v>
      </c>
      <c r="H41" s="153">
        <v>4.451023176313412</v>
      </c>
      <c r="I41" s="152">
        <v>15.56</v>
      </c>
      <c r="J41" s="145"/>
      <c r="M41" s="98" t="str">
        <f>IF(A41="","",A41&amp;" ("&amp;SUBSTITUTE(SUBSTITUTE(SUBSTITUTE(C41,CHAR(160),"")," ",""),CHAR(34),"")&amp;"-in) - "&amp;IF(UPPER(TRIM(Calculator!$D$28))="KV","Kv "&amp;TEXT(E41,"0.0"),"Cv "&amp;TEXT(D41,"0.0")))</f>
        <v>B6600VB-507 (6-in) - Cv 507.0</v>
      </c>
    </row>
    <row r="42" spans="1:13" s="98" customFormat="1" ht="15" customHeight="1" x14ac:dyDescent="0.3">
      <c r="A42" s="138" t="s">
        <v>105</v>
      </c>
      <c r="B42" s="98" t="s">
        <v>250</v>
      </c>
      <c r="C42" s="142">
        <v>8</v>
      </c>
      <c r="D42" s="148">
        <v>865</v>
      </c>
      <c r="E42" s="148">
        <v>748.22500000000002</v>
      </c>
      <c r="F42" s="142">
        <v>150</v>
      </c>
      <c r="G42" s="98" t="s">
        <v>250</v>
      </c>
      <c r="H42" s="153">
        <v>5.6418958354775626</v>
      </c>
      <c r="I42" s="152">
        <v>25</v>
      </c>
      <c r="J42" s="145"/>
      <c r="M42" s="98" t="str">
        <f>IF(A42="","",A42&amp;" ("&amp;SUBSTITUTE(SUBSTITUTE(SUBSTITUTE(C42,CHAR(160),"")," ",""),CHAR(34),"")&amp;"-in) - "&amp;IF(UPPER(TRIM(Calculator!$D$28))="KV","Kv "&amp;TEXT(E42,"0.0"),"Cv "&amp;TEXT(D42,"0.0")))</f>
        <v>B6800VB-865 (8-in) - Cv 865.0</v>
      </c>
    </row>
    <row r="43" spans="1:13" s="98" customFormat="1" ht="15" customHeight="1" x14ac:dyDescent="0.3">
      <c r="A43" s="138" t="s">
        <v>123</v>
      </c>
      <c r="B43" s="98" t="s">
        <v>250</v>
      </c>
      <c r="C43" s="142">
        <v>10</v>
      </c>
      <c r="D43" s="148">
        <v>1550</v>
      </c>
      <c r="E43" s="148">
        <v>1340.75</v>
      </c>
      <c r="F43" s="142">
        <v>150</v>
      </c>
      <c r="G43" s="98" t="s">
        <v>250</v>
      </c>
      <c r="H43" s="153">
        <v>7.5373701306279877</v>
      </c>
      <c r="I43" s="152">
        <v>44.62</v>
      </c>
      <c r="J43" s="145"/>
      <c r="M43" s="98" t="str">
        <f>IF(A43="","",A43&amp;" ("&amp;SUBSTITUTE(SUBSTITUTE(SUBSTITUTE(C43,CHAR(160),"")," ",""),CHAR(34),"")&amp;"-in) - "&amp;IF(UPPER(TRIM(Calculator!$D$28))="KV","Kv "&amp;TEXT(E43,"0.0"),"Cv "&amp;TEXT(D43,"0.0")))</f>
        <v>B61000VB-1550 (10-in) - Cv 1550.0</v>
      </c>
    </row>
    <row r="44" spans="1:13" s="98" customFormat="1" ht="15" customHeight="1" x14ac:dyDescent="0.3">
      <c r="A44" s="138" t="s">
        <v>122</v>
      </c>
      <c r="B44" s="98" t="s">
        <v>250</v>
      </c>
      <c r="C44" s="142">
        <v>12</v>
      </c>
      <c r="D44" s="148">
        <v>1905</v>
      </c>
      <c r="E44" s="148">
        <v>1647.825</v>
      </c>
      <c r="F44" s="142">
        <v>150</v>
      </c>
      <c r="G44" s="98" t="s">
        <v>250</v>
      </c>
      <c r="H44" s="153">
        <v>9.0657383931290862</v>
      </c>
      <c r="I44" s="152">
        <v>64.55</v>
      </c>
      <c r="J44" s="145"/>
      <c r="M44" s="98" t="str">
        <f>IF(A44="","",A44&amp;" ("&amp;SUBSTITUTE(SUBSTITUTE(SUBSTITUTE(C44,CHAR(160),"")," ",""),CHAR(34),"")&amp;"-in) - "&amp;IF(UPPER(TRIM(Calculator!$D$28))="KV","Kv "&amp;TEXT(E44,"0.0"),"Cv "&amp;TEXT(D44,"0.0")))</f>
        <v>B61200VB-1905 (12-in) - Cv 1905.0</v>
      </c>
    </row>
    <row r="45" spans="1:13" s="98" customFormat="1" ht="15" customHeight="1" x14ac:dyDescent="0.2">
      <c r="A45" s="98" t="s">
        <v>139</v>
      </c>
      <c r="B45" s="98" t="s">
        <v>251</v>
      </c>
      <c r="C45" s="142">
        <v>0.5</v>
      </c>
      <c r="D45" s="148">
        <v>0.4</v>
      </c>
      <c r="E45" s="148">
        <v>0.34600000000000003</v>
      </c>
      <c r="F45" s="142">
        <v>100</v>
      </c>
      <c r="G45" s="98" t="s">
        <v>251</v>
      </c>
      <c r="H45" s="64">
        <v>0.375</v>
      </c>
      <c r="I45" s="154"/>
      <c r="J45" s="146">
        <v>0.33139999999999997</v>
      </c>
      <c r="K45" s="145"/>
      <c r="M45" s="98" t="str">
        <f>IF(A45="","",A45&amp;" ("&amp;SUBSTITUTE(SUBSTITUTE(SUBSTITUTE(C45,CHAR(160),"")," ",""),CHAR(34),"")&amp;"-in) - "&amp;IF(UPPER(TRIM(Calculator!$D$28))="KV","Kv "&amp;TEXT(E45,"0.0"),"Cv "&amp;TEXT(D45,"0.0")))</f>
        <v>G215S-C (0.5-in) - Cv 0.4</v>
      </c>
    </row>
    <row r="46" spans="1:13" s="98" customFormat="1" ht="15" customHeight="1" x14ac:dyDescent="0.2">
      <c r="A46" s="98" t="s">
        <v>138</v>
      </c>
      <c r="B46" s="98" t="s">
        <v>251</v>
      </c>
      <c r="C46" s="142">
        <v>0.5</v>
      </c>
      <c r="D46" s="148">
        <v>1.3</v>
      </c>
      <c r="E46" s="148">
        <v>1.1245000000000001</v>
      </c>
      <c r="F46" s="142">
        <v>100</v>
      </c>
      <c r="G46" s="98" t="s">
        <v>251</v>
      </c>
      <c r="H46" s="64">
        <v>0.375</v>
      </c>
      <c r="I46" s="146"/>
      <c r="J46" s="146">
        <v>0.33139999999999997</v>
      </c>
      <c r="K46" s="145"/>
      <c r="M46" s="98" t="str">
        <f>IF(A46="","",A46&amp;" ("&amp;SUBSTITUTE(SUBSTITUTE(SUBSTITUTE(C46,CHAR(160),"")," ",""),CHAR(34),"")&amp;"-in) - "&amp;IF(UPPER(TRIM(Calculator!$D$28))="KV","Kv "&amp;TEXT(E46,"0.0"),"Cv "&amp;TEXT(D46,"0.0")))</f>
        <v>G215S-F (0.5-in) - Cv 1.3</v>
      </c>
    </row>
    <row r="47" spans="1:13" s="98" customFormat="1" ht="15" customHeight="1" x14ac:dyDescent="0.2">
      <c r="A47" s="98" t="s">
        <v>137</v>
      </c>
      <c r="B47" s="98" t="s">
        <v>251</v>
      </c>
      <c r="C47" s="142">
        <v>0.5</v>
      </c>
      <c r="D47" s="148">
        <v>2.2000000000000002</v>
      </c>
      <c r="E47" s="148">
        <v>1.903</v>
      </c>
      <c r="F47" s="142">
        <v>100</v>
      </c>
      <c r="G47" s="98" t="s">
        <v>251</v>
      </c>
      <c r="H47" s="64">
        <v>0.375</v>
      </c>
      <c r="I47" s="146"/>
      <c r="J47" s="146">
        <v>0.33139999999999997</v>
      </c>
      <c r="K47" s="145"/>
      <c r="M47" s="98" t="str">
        <f>IF(A47="","",A47&amp;" ("&amp;SUBSTITUTE(SUBSTITUTE(SUBSTITUTE(C47,CHAR(160),"")," ",""),CHAR(34),"")&amp;"-in) - "&amp;IF(UPPER(TRIM(Calculator!$D$28))="KV","Kv "&amp;TEXT(E47,"0.0"),"Cv "&amp;TEXT(D47,"0.0")))</f>
        <v>G215S-G (0.5-in) - Cv 2.2</v>
      </c>
    </row>
    <row r="48" spans="1:13" s="98" customFormat="1" ht="15" customHeight="1" x14ac:dyDescent="0.2">
      <c r="A48" s="98" t="s">
        <v>136</v>
      </c>
      <c r="B48" s="98" t="s">
        <v>251</v>
      </c>
      <c r="C48" s="142">
        <v>0.5</v>
      </c>
      <c r="D48" s="148">
        <v>4.4000000000000004</v>
      </c>
      <c r="E48" s="148">
        <v>3.806</v>
      </c>
      <c r="F48" s="142">
        <v>100</v>
      </c>
      <c r="G48" s="98" t="s">
        <v>251</v>
      </c>
      <c r="H48" s="64">
        <v>0.375</v>
      </c>
      <c r="I48" s="146"/>
      <c r="J48" s="146">
        <v>0.33139999999999997</v>
      </c>
      <c r="K48" s="145"/>
      <c r="M48" s="98" t="str">
        <f>IF(A48="","",A48&amp;" ("&amp;SUBSTITUTE(SUBSTITUTE(SUBSTITUTE(C48,CHAR(160),"")," ",""),CHAR(34),"")&amp;"-in) - "&amp;IF(UPPER(TRIM(Calculator!$D$28))="KV","Kv "&amp;TEXT(E48,"0.0"),"Cv "&amp;TEXT(D48,"0.0")))</f>
        <v>G215S-J (0.5-in) - Cv 4.4</v>
      </c>
    </row>
    <row r="49" spans="1:13" s="98" customFormat="1" ht="15" customHeight="1" x14ac:dyDescent="0.2">
      <c r="A49" s="98" t="s">
        <v>109</v>
      </c>
      <c r="B49" s="98" t="s">
        <v>251</v>
      </c>
      <c r="C49" s="142">
        <v>0.75</v>
      </c>
      <c r="D49" s="148">
        <v>5.5</v>
      </c>
      <c r="E49" s="148">
        <v>4.7575000000000003</v>
      </c>
      <c r="F49" s="142">
        <v>100</v>
      </c>
      <c r="G49" s="98" t="s">
        <v>251</v>
      </c>
      <c r="H49" s="64">
        <v>0.5625</v>
      </c>
      <c r="I49" s="146"/>
      <c r="J49" s="146">
        <v>0.33139999999999997</v>
      </c>
      <c r="K49" s="145"/>
      <c r="M49" s="98" t="str">
        <f>IF(A49="","",A49&amp;" ("&amp;SUBSTITUTE(SUBSTITUTE(SUBSTITUTE(C49,CHAR(160),"")," ",""),CHAR(34),"")&amp;"-in) - "&amp;IF(UPPER(TRIM(Calculator!$D$28))="KV","Kv "&amp;TEXT(E49,"0.0"),"Cv "&amp;TEXT(D49,"0.0")))</f>
        <v>G220S-J (0.75-in) - Cv 5.5</v>
      </c>
    </row>
    <row r="50" spans="1:13" s="98" customFormat="1" ht="15" customHeight="1" x14ac:dyDescent="0.2">
      <c r="A50" s="98" t="s">
        <v>108</v>
      </c>
      <c r="B50" s="98" t="s">
        <v>251</v>
      </c>
      <c r="C50" s="142">
        <v>0.75</v>
      </c>
      <c r="D50" s="148">
        <v>7.5</v>
      </c>
      <c r="E50" s="148">
        <v>6.4874999999999998</v>
      </c>
      <c r="F50" s="142">
        <v>100</v>
      </c>
      <c r="G50" s="98" t="s">
        <v>251</v>
      </c>
      <c r="H50" s="64">
        <v>0.5625</v>
      </c>
      <c r="I50" s="146"/>
      <c r="J50" s="146">
        <v>0.33139999999999997</v>
      </c>
      <c r="K50" s="145"/>
      <c r="M50" s="98" t="str">
        <f>IF(A50="","",A50&amp;" ("&amp;SUBSTITUTE(SUBSTITUTE(SUBSTITUTE(C50,CHAR(160),"")," ",""),CHAR(34),"")&amp;"-in) - "&amp;IF(UPPER(TRIM(Calculator!$D$28))="KV","Kv "&amp;TEXT(E50,"0.0"),"Cv "&amp;TEXT(D50,"0.0")))</f>
        <v>G220S-K (0.75-in) - Cv 7.5</v>
      </c>
    </row>
    <row r="51" spans="1:13" s="98" customFormat="1" ht="15" customHeight="1" x14ac:dyDescent="0.2">
      <c r="A51" s="98" t="s">
        <v>125</v>
      </c>
      <c r="B51" s="98" t="s">
        <v>251</v>
      </c>
      <c r="C51" s="142">
        <v>1</v>
      </c>
      <c r="D51" s="148">
        <v>10</v>
      </c>
      <c r="E51" s="148">
        <v>8.65</v>
      </c>
      <c r="F51" s="142">
        <v>100</v>
      </c>
      <c r="G51" s="98" t="s">
        <v>251</v>
      </c>
      <c r="H51" s="64">
        <v>0.75</v>
      </c>
      <c r="I51" s="146"/>
      <c r="J51" s="146">
        <v>0.88749999999999996</v>
      </c>
      <c r="K51" s="145"/>
      <c r="M51" s="98" t="str">
        <f>IF(A51="","",A51&amp;" ("&amp;SUBSTITUTE(SUBSTITUTE(SUBSTITUTE(C51,CHAR(160),"")," ",""),CHAR(34),"")&amp;"-in) - "&amp;IF(UPPER(TRIM(Calculator!$D$28))="KV","Kv "&amp;TEXT(E51,"0.0"),"Cv "&amp;TEXT(D51,"0.0")))</f>
        <v>G225S-K (1-in) - Cv 10.0</v>
      </c>
    </row>
    <row r="52" spans="1:13" s="98" customFormat="1" ht="15" customHeight="1" x14ac:dyDescent="0.2">
      <c r="A52" s="98" t="s">
        <v>124</v>
      </c>
      <c r="B52" s="98" t="s">
        <v>251</v>
      </c>
      <c r="C52" s="142">
        <v>1</v>
      </c>
      <c r="D52" s="148">
        <v>14</v>
      </c>
      <c r="E52" s="148">
        <v>12.11</v>
      </c>
      <c r="F52" s="142">
        <v>100</v>
      </c>
      <c r="G52" s="98" t="s">
        <v>251</v>
      </c>
      <c r="H52" s="64">
        <v>0.75</v>
      </c>
      <c r="I52" s="146"/>
      <c r="J52" s="146">
        <v>0.88749999999999996</v>
      </c>
      <c r="K52" s="145"/>
      <c r="M52" s="98" t="str">
        <f>IF(A52="","",A52&amp;" ("&amp;SUBSTITUTE(SUBSTITUTE(SUBSTITUTE(C52,CHAR(160),"")," ",""),CHAR(34),"")&amp;"-in) - "&amp;IF(UPPER(TRIM(Calculator!$D$28))="KV","Kv "&amp;TEXT(E52,"0.0"),"Cv "&amp;TEXT(D52,"0.0")))</f>
        <v>G225S-L (1-in) - Cv 14.0</v>
      </c>
    </row>
    <row r="53" spans="1:13" s="98" customFormat="1" ht="15" customHeight="1" x14ac:dyDescent="0.2">
      <c r="A53" s="98" t="s">
        <v>133</v>
      </c>
      <c r="B53" s="98" t="s">
        <v>251</v>
      </c>
      <c r="C53" s="142">
        <v>1.25</v>
      </c>
      <c r="D53" s="148">
        <v>20</v>
      </c>
      <c r="E53" s="148">
        <v>17.3</v>
      </c>
      <c r="F53" s="142">
        <v>100</v>
      </c>
      <c r="G53" s="98" t="s">
        <v>251</v>
      </c>
      <c r="H53" s="64">
        <v>0.9375</v>
      </c>
      <c r="I53" s="146"/>
      <c r="J53" s="146">
        <v>1.1698999999999999</v>
      </c>
      <c r="K53" s="145"/>
      <c r="M53" s="98" t="str">
        <f>IF(A53="","",A53&amp;" ("&amp;SUBSTITUTE(SUBSTITUTE(SUBSTITUTE(C53,CHAR(160),"")," ",""),CHAR(34),"")&amp;"-in) - "&amp;IF(UPPER(TRIM(Calculator!$D$28))="KV","Kv "&amp;TEXT(E53,"0.0"),"Cv "&amp;TEXT(D53,"0.0")))</f>
        <v>G232S-M (1.25-in) - Cv 20.0</v>
      </c>
    </row>
    <row r="54" spans="1:13" s="98" customFormat="1" ht="15" customHeight="1" x14ac:dyDescent="0.2">
      <c r="A54" s="98" t="s">
        <v>134</v>
      </c>
      <c r="B54" s="98" t="s">
        <v>251</v>
      </c>
      <c r="C54" s="142">
        <v>1.5</v>
      </c>
      <c r="D54" s="148">
        <v>28</v>
      </c>
      <c r="E54" s="148">
        <v>24.22</v>
      </c>
      <c r="F54" s="142">
        <v>100</v>
      </c>
      <c r="G54" s="98" t="s">
        <v>251</v>
      </c>
      <c r="H54" s="64">
        <v>1.125</v>
      </c>
      <c r="I54" s="146"/>
      <c r="J54" s="146">
        <v>2.0464000000000002</v>
      </c>
      <c r="K54" s="145"/>
      <c r="M54" s="98" t="str">
        <f>IF(A54="","",A54&amp;" ("&amp;SUBSTITUTE(SUBSTITUTE(SUBSTITUTE(C54,CHAR(160),"")," ",""),CHAR(34),"")&amp;"-in) - "&amp;IF(UPPER(TRIM(Calculator!$D$28))="KV","Kv "&amp;TEXT(E54,"0.0"),"Cv "&amp;TEXT(D54,"0.0")))</f>
        <v>G240S-N (1.5-in) - Cv 28.0</v>
      </c>
    </row>
    <row r="55" spans="1:13" s="98" customFormat="1" ht="15" customHeight="1" x14ac:dyDescent="0.2">
      <c r="A55" s="98" t="s">
        <v>119</v>
      </c>
      <c r="B55" s="98" t="s">
        <v>251</v>
      </c>
      <c r="C55" s="142">
        <v>2</v>
      </c>
      <c r="D55" s="148">
        <v>40</v>
      </c>
      <c r="E55" s="148">
        <v>34.6</v>
      </c>
      <c r="F55" s="142">
        <v>100</v>
      </c>
      <c r="G55" s="98" t="s">
        <v>251</v>
      </c>
      <c r="H55" s="64">
        <v>1.5</v>
      </c>
      <c r="I55" s="146"/>
      <c r="J55" s="146">
        <v>3.1663999999999999</v>
      </c>
      <c r="K55" s="145"/>
      <c r="M55" s="98" t="str">
        <f>IF(A55="","",A55&amp;" ("&amp;SUBSTITUTE(SUBSTITUTE(SUBSTITUTE(C55,CHAR(160),"")," ",""),CHAR(34),"")&amp;"-in) - "&amp;IF(UPPER(TRIM(Calculator!$D$28))="KV","Kv "&amp;TEXT(E55,"0.0"),"Cv "&amp;TEXT(D55,"0.0")))</f>
        <v>G250S-N (2-in) - Cv 40.0</v>
      </c>
    </row>
    <row r="56" spans="1:13" s="98" customFormat="1" ht="15" customHeight="1" x14ac:dyDescent="0.2">
      <c r="A56" s="98" t="s">
        <v>262</v>
      </c>
      <c r="B56" s="98" t="s">
        <v>251</v>
      </c>
      <c r="C56" s="142">
        <v>2.5</v>
      </c>
      <c r="D56" s="148">
        <v>65</v>
      </c>
      <c r="E56" s="148">
        <v>56.225000000000001</v>
      </c>
      <c r="F56" s="142">
        <v>35</v>
      </c>
      <c r="G56" s="98" t="s">
        <v>251</v>
      </c>
      <c r="H56" s="64">
        <v>1.875</v>
      </c>
      <c r="I56" s="146"/>
      <c r="J56" s="146">
        <v>4.9086999999999996</v>
      </c>
      <c r="K56" s="145"/>
      <c r="M56" s="98" t="str">
        <f>IF(A56="","",A56&amp;" ("&amp;SUBSTITUTE(SUBSTITUTE(SUBSTITUTE(C56,CHAR(160),"")," ",""),CHAR(34),"")&amp;"-in) - "&amp;IF(UPPER(TRIM(Calculator!$D$28))="KV","Kv "&amp;TEXT(E56,"0.0"),"Cv "&amp;TEXT(D56,"0.0")))</f>
        <v>G665 (2.5-in) - Cv 65.0</v>
      </c>
    </row>
    <row r="57" spans="1:13" s="98" customFormat="1" ht="15" customHeight="1" x14ac:dyDescent="0.2">
      <c r="A57" s="98" t="s">
        <v>263</v>
      </c>
      <c r="B57" s="98" t="s">
        <v>251</v>
      </c>
      <c r="C57" s="142">
        <v>3</v>
      </c>
      <c r="D57" s="148">
        <v>90</v>
      </c>
      <c r="E57" s="148">
        <v>77.849999999999994</v>
      </c>
      <c r="F57" s="142">
        <v>35</v>
      </c>
      <c r="G57" s="98" t="s">
        <v>251</v>
      </c>
      <c r="H57" s="64">
        <v>2.25</v>
      </c>
      <c r="I57" s="146"/>
      <c r="J57" s="146">
        <v>7.0686</v>
      </c>
      <c r="K57" s="145"/>
      <c r="M57" s="98" t="str">
        <f>IF(A57="","",A57&amp;" ("&amp;SUBSTITUTE(SUBSTITUTE(SUBSTITUTE(C57,CHAR(160),"")," ",""),CHAR(34),"")&amp;"-in) - "&amp;IF(UPPER(TRIM(Calculator!$D$28))="KV","Kv "&amp;TEXT(E57,"0.0"),"Cv "&amp;TEXT(D57,"0.0")))</f>
        <v>G680 (3-in) - Cv 90.0</v>
      </c>
    </row>
    <row r="58" spans="1:13" s="98" customFormat="1" ht="15" customHeight="1" x14ac:dyDescent="0.2">
      <c r="A58" s="98" t="s">
        <v>264</v>
      </c>
      <c r="B58" s="98" t="s">
        <v>251</v>
      </c>
      <c r="C58" s="142">
        <v>4</v>
      </c>
      <c r="D58" s="148">
        <v>170</v>
      </c>
      <c r="E58" s="148">
        <v>147.05000000000001</v>
      </c>
      <c r="F58" s="142">
        <v>35</v>
      </c>
      <c r="G58" s="98" t="s">
        <v>251</v>
      </c>
      <c r="H58" s="64">
        <v>3</v>
      </c>
      <c r="I58" s="146"/>
      <c r="J58" s="146">
        <v>12.5664</v>
      </c>
      <c r="K58" s="145"/>
      <c r="M58" s="98" t="str">
        <f>IF(A58="","",A58&amp;" ("&amp;SUBSTITUTE(SUBSTITUTE(SUBSTITUTE(C58,CHAR(160),"")," ",""),CHAR(34),"")&amp;"-in) - "&amp;IF(UPPER(TRIM(Calculator!$D$28))="KV","Kv "&amp;TEXT(E58,"0.0"),"Cv "&amp;TEXT(D58,"0.0")))</f>
        <v>G6100 (4-in) - Cv 170.0</v>
      </c>
    </row>
    <row r="59" spans="1:13" s="98" customFormat="1" ht="15" customHeight="1" x14ac:dyDescent="0.2">
      <c r="A59" s="98" t="s">
        <v>265</v>
      </c>
      <c r="B59" s="98" t="s">
        <v>251</v>
      </c>
      <c r="C59" s="142">
        <v>5</v>
      </c>
      <c r="D59" s="148">
        <v>263</v>
      </c>
      <c r="E59" s="148">
        <v>227.495</v>
      </c>
      <c r="F59" s="142">
        <v>35</v>
      </c>
      <c r="G59" s="98" t="s">
        <v>251</v>
      </c>
      <c r="H59" s="64">
        <v>3.75</v>
      </c>
      <c r="I59" s="146"/>
      <c r="J59" s="146">
        <v>19.635000000000002</v>
      </c>
      <c r="K59" s="145"/>
      <c r="M59" s="98" t="str">
        <f>IF(A59="","",A59&amp;" ("&amp;SUBSTITUTE(SUBSTITUTE(SUBSTITUTE(C59,CHAR(160),"")," ",""),CHAR(34),"")&amp;"-in) - "&amp;IF(UPPER(TRIM(Calculator!$D$28))="KV","Kv "&amp;TEXT(E59,"0.0"),"Cv "&amp;TEXT(D59,"0.0")))</f>
        <v>G6125 (5-in) - Cv 263.0</v>
      </c>
    </row>
    <row r="60" spans="1:13" s="98" customFormat="1" ht="15" customHeight="1" x14ac:dyDescent="0.2">
      <c r="A60" s="98" t="s">
        <v>266</v>
      </c>
      <c r="B60" s="98" t="s">
        <v>251</v>
      </c>
      <c r="C60" s="142">
        <v>6</v>
      </c>
      <c r="D60" s="148">
        <v>344</v>
      </c>
      <c r="E60" s="148">
        <v>297.56</v>
      </c>
      <c r="F60" s="142">
        <v>35</v>
      </c>
      <c r="G60" s="98" t="s">
        <v>251</v>
      </c>
      <c r="H60" s="64">
        <v>4.5</v>
      </c>
      <c r="I60" s="146"/>
      <c r="J60" s="146">
        <v>28.2743</v>
      </c>
      <c r="K60" s="145"/>
      <c r="M60" s="98" t="str">
        <f>IF(A60="","",A60&amp;" ("&amp;SUBSTITUTE(SUBSTITUTE(SUBSTITUTE(C60,CHAR(160),"")," ",""),CHAR(34),"")&amp;"-in) - "&amp;IF(UPPER(TRIM(Calculator!$D$28))="KV","Kv "&amp;TEXT(E60,"0.0"),"Cv "&amp;TEXT(D60,"0.0")))</f>
        <v>G6150 (6-in) - Cv 344.0</v>
      </c>
    </row>
  </sheetData>
  <sheetProtection algorithmName="SHA-512" hashValue="zxSeopPUkPzBUWTBCgenNL5VbJIzHndyoY9xrRVinvRTDMasxFvf2ogl2CrBQeqktHTfToX5qRw/0DZxr+/VxA==" saltValue="K6c6YqWupOR7lsjzqbOstQ==" spinCount="100000" sheet="1" objects="1" scenarios="1" sort="0" autoFilter="0"/>
  <sortState xmlns:xlrd2="http://schemas.microsoft.com/office/spreadsheetml/2017/richdata2" ref="A2:I60">
    <sortCondition ref="B2:B60"/>
    <sortCondition ref="A2:A60"/>
  </sortState>
  <dataValidations count="1">
    <dataValidation type="list" allowBlank="1" showInputMessage="1" showErrorMessage="1" sqref="K2:K60" xr:uid="{20500DF6-0220-450D-A608-FA2618FC6F5D}">
      <formula1>"Equal %,Linear"</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1A796-1816-4EF0-82F9-2F869CDBC8F1}">
  <sheetPr codeName="Sheet3"/>
  <dimension ref="A1:S203"/>
  <sheetViews>
    <sheetView workbookViewId="0">
      <selection activeCell="M9" sqref="M1:M1048576"/>
    </sheetView>
  </sheetViews>
  <sheetFormatPr defaultRowHeight="13.2" x14ac:dyDescent="0.25"/>
  <cols>
    <col min="1" max="1" width="41.6640625" bestFit="1" customWidth="1"/>
    <col min="2" max="2" width="60.21875" bestFit="1" customWidth="1"/>
    <col min="3" max="3" width="12.33203125" bestFit="1" customWidth="1"/>
    <col min="4" max="4" width="16.5546875" style="64" bestFit="1" customWidth="1"/>
    <col min="5" max="5" width="25.109375" bestFit="1" customWidth="1"/>
    <col min="6" max="6" width="18.88671875" style="64" bestFit="1" customWidth="1"/>
    <col min="7" max="7" width="12.88671875" style="64" bestFit="1" customWidth="1"/>
    <col min="8" max="8" width="19.77734375" style="64" bestFit="1" customWidth="1"/>
    <col min="9" max="9" width="60.77734375" bestFit="1" customWidth="1"/>
    <col min="10" max="10" width="15" bestFit="1" customWidth="1"/>
    <col min="12" max="12" width="13.109375" customWidth="1"/>
    <col min="13" max="13" width="10.5546875" customWidth="1"/>
  </cols>
  <sheetData>
    <row r="1" spans="1:19" ht="15.6" x14ac:dyDescent="0.3">
      <c r="A1" s="376" t="s">
        <v>405</v>
      </c>
    </row>
    <row r="2" spans="1:19" x14ac:dyDescent="0.25">
      <c r="B2" t="s">
        <v>406</v>
      </c>
      <c r="C2" s="381" t="s">
        <v>251</v>
      </c>
      <c r="I2" t="s">
        <v>429</v>
      </c>
      <c r="J2" s="382">
        <v>2</v>
      </c>
    </row>
    <row r="3" spans="1:19" x14ac:dyDescent="0.25">
      <c r="B3" t="s">
        <v>426</v>
      </c>
      <c r="C3" s="382" t="s">
        <v>427</v>
      </c>
      <c r="I3" t="s">
        <v>430</v>
      </c>
      <c r="J3" s="382">
        <v>2</v>
      </c>
    </row>
    <row r="4" spans="1:19" x14ac:dyDescent="0.25">
      <c r="B4" t="s">
        <v>424</v>
      </c>
      <c r="C4" t="s">
        <v>501</v>
      </c>
      <c r="D4" s="64" t="s">
        <v>496</v>
      </c>
      <c r="E4" t="s">
        <v>428</v>
      </c>
      <c r="F4" s="64" t="s">
        <v>425</v>
      </c>
    </row>
    <row r="5" spans="1:19" x14ac:dyDescent="0.25">
      <c r="B5" s="377" t="s">
        <v>431</v>
      </c>
      <c r="C5" s="377" t="s">
        <v>432</v>
      </c>
      <c r="D5" s="385" t="s">
        <v>433</v>
      </c>
      <c r="E5" s="377" t="s">
        <v>407</v>
      </c>
      <c r="F5" s="385" t="s">
        <v>408</v>
      </c>
      <c r="G5" s="385" t="s">
        <v>409</v>
      </c>
      <c r="H5" s="385" t="s">
        <v>410</v>
      </c>
    </row>
    <row r="6" spans="1:19" x14ac:dyDescent="0.25">
      <c r="B6" t="s">
        <v>504</v>
      </c>
      <c r="C6" t="s">
        <v>497</v>
      </c>
      <c r="D6" s="64" t="s">
        <v>505</v>
      </c>
      <c r="E6">
        <v>5.7610000000000001</v>
      </c>
      <c r="F6" s="64" t="s">
        <v>427</v>
      </c>
      <c r="G6" s="64">
        <v>1</v>
      </c>
      <c r="H6" s="64">
        <v>1621.9</v>
      </c>
    </row>
    <row r="9" spans="1:19" x14ac:dyDescent="0.25">
      <c r="B9" s="132" t="s">
        <v>411</v>
      </c>
    </row>
    <row r="10" spans="1:19" x14ac:dyDescent="0.25">
      <c r="B10" s="377" t="s">
        <v>412</v>
      </c>
      <c r="C10" s="377" t="s">
        <v>94</v>
      </c>
      <c r="D10" s="385" t="s">
        <v>413</v>
      </c>
      <c r="E10" s="377" t="s">
        <v>414</v>
      </c>
      <c r="F10" s="385" t="s">
        <v>415</v>
      </c>
      <c r="G10" s="385" t="s">
        <v>416</v>
      </c>
      <c r="H10" s="385" t="s">
        <v>417</v>
      </c>
      <c r="I10" s="377" t="s">
        <v>418</v>
      </c>
      <c r="J10" s="377" t="s">
        <v>419</v>
      </c>
    </row>
    <row r="11" spans="1:19" x14ac:dyDescent="0.25">
      <c r="B11" t="s">
        <v>506</v>
      </c>
      <c r="C11">
        <v>24</v>
      </c>
      <c r="D11" s="64">
        <v>0.68</v>
      </c>
      <c r="E11" t="s">
        <v>502</v>
      </c>
      <c r="F11" s="64">
        <v>845</v>
      </c>
      <c r="G11" s="64">
        <v>257.5</v>
      </c>
      <c r="H11" s="64">
        <v>0.52100000000000002</v>
      </c>
      <c r="I11" t="s">
        <v>498</v>
      </c>
      <c r="J11" s="379" t="s">
        <v>436</v>
      </c>
    </row>
    <row r="12" spans="1:19" ht="105.6" x14ac:dyDescent="0.25">
      <c r="A12" s="132" t="s">
        <v>434</v>
      </c>
      <c r="B12" s="396" t="s">
        <v>507</v>
      </c>
      <c r="L12" t="s">
        <v>499</v>
      </c>
      <c r="M12" t="s">
        <v>135</v>
      </c>
      <c r="N12">
        <v>1.5</v>
      </c>
      <c r="O12">
        <v>55</v>
      </c>
      <c r="P12">
        <v>91.7</v>
      </c>
      <c r="Q12">
        <v>0.185</v>
      </c>
      <c r="R12" t="s">
        <v>423</v>
      </c>
      <c r="S12" t="s">
        <v>500</v>
      </c>
    </row>
    <row r="13" spans="1:19" x14ac:dyDescent="0.25">
      <c r="A13" s="132" t="s">
        <v>420</v>
      </c>
    </row>
    <row r="14" spans="1:19" x14ac:dyDescent="0.25">
      <c r="A14" s="377" t="s">
        <v>421</v>
      </c>
      <c r="B14" s="377" t="s">
        <v>422</v>
      </c>
      <c r="C14" s="377" t="s">
        <v>94</v>
      </c>
      <c r="D14" s="385" t="s">
        <v>413</v>
      </c>
      <c r="E14" s="377" t="s">
        <v>414</v>
      </c>
      <c r="F14" s="385" t="s">
        <v>415</v>
      </c>
      <c r="G14" s="385" t="s">
        <v>416</v>
      </c>
      <c r="H14" s="385" t="s">
        <v>417</v>
      </c>
      <c r="I14" s="377" t="s">
        <v>419</v>
      </c>
      <c r="J14" s="377" t="s">
        <v>435</v>
      </c>
    </row>
    <row r="15" spans="1:19" x14ac:dyDescent="0.25">
      <c r="A15" t="s">
        <v>132</v>
      </c>
      <c r="B15" s="380">
        <v>1</v>
      </c>
      <c r="C15">
        <v>24</v>
      </c>
      <c r="D15" s="64">
        <v>0.68</v>
      </c>
      <c r="E15" t="s">
        <v>502</v>
      </c>
      <c r="F15" s="64">
        <v>845</v>
      </c>
      <c r="G15" s="64">
        <v>257.5</v>
      </c>
      <c r="H15" s="64">
        <v>0.52100000000000002</v>
      </c>
      <c r="I15" s="379" t="s">
        <v>436</v>
      </c>
      <c r="J15" t="s">
        <v>437</v>
      </c>
    </row>
    <row r="16" spans="1:19" x14ac:dyDescent="0.25">
      <c r="A16" t="s">
        <v>135</v>
      </c>
      <c r="B16" s="380">
        <v>1.5</v>
      </c>
      <c r="C16">
        <v>55</v>
      </c>
      <c r="D16" s="64">
        <v>1.91</v>
      </c>
      <c r="E16" t="s">
        <v>502</v>
      </c>
      <c r="F16" s="64">
        <v>300.8</v>
      </c>
      <c r="G16" s="64">
        <v>91.7</v>
      </c>
      <c r="H16" s="64">
        <v>0.185</v>
      </c>
      <c r="I16" s="378" t="s">
        <v>423</v>
      </c>
      <c r="J16" t="s">
        <v>437</v>
      </c>
    </row>
    <row r="17" spans="1:10" x14ac:dyDescent="0.25">
      <c r="A17" t="s">
        <v>121</v>
      </c>
      <c r="B17" s="380">
        <v>2</v>
      </c>
      <c r="C17">
        <v>77</v>
      </c>
      <c r="D17" s="64">
        <v>3</v>
      </c>
      <c r="E17" t="s">
        <v>502</v>
      </c>
      <c r="F17" s="64">
        <v>191.5</v>
      </c>
      <c r="G17" s="64">
        <v>58.4</v>
      </c>
      <c r="H17" s="64">
        <v>0.11799999999999999</v>
      </c>
      <c r="I17" s="378" t="s">
        <v>423</v>
      </c>
      <c r="J17" t="s">
        <v>437</v>
      </c>
    </row>
    <row r="18" spans="1:10" x14ac:dyDescent="0.25">
      <c r="A18" t="s">
        <v>118</v>
      </c>
      <c r="B18" s="380">
        <v>3</v>
      </c>
      <c r="C18">
        <v>207</v>
      </c>
      <c r="D18" s="64">
        <v>5.28</v>
      </c>
      <c r="E18" t="s">
        <v>502</v>
      </c>
      <c r="F18" s="64">
        <v>108.8</v>
      </c>
      <c r="G18" s="64">
        <v>33.200000000000003</v>
      </c>
      <c r="H18" s="64">
        <v>6.7000000000000004E-2</v>
      </c>
      <c r="I18" s="378" t="s">
        <v>423</v>
      </c>
      <c r="J18" s="379" t="s">
        <v>503</v>
      </c>
    </row>
    <row r="19" spans="1:10" x14ac:dyDescent="0.25">
      <c r="A19" t="s">
        <v>107</v>
      </c>
      <c r="B19" s="380">
        <v>4</v>
      </c>
      <c r="C19">
        <v>350</v>
      </c>
      <c r="D19" s="64">
        <v>7.19</v>
      </c>
      <c r="E19" t="s">
        <v>502</v>
      </c>
      <c r="F19" s="64">
        <v>79.900000000000006</v>
      </c>
      <c r="G19" s="64">
        <v>24.4</v>
      </c>
      <c r="H19" s="64">
        <v>4.9000000000000002E-2</v>
      </c>
      <c r="I19" s="378" t="s">
        <v>423</v>
      </c>
      <c r="J19" s="379" t="s">
        <v>503</v>
      </c>
    </row>
    <row r="20" spans="1:10" x14ac:dyDescent="0.25">
      <c r="A20" t="s">
        <v>106</v>
      </c>
      <c r="B20" s="380">
        <v>6</v>
      </c>
      <c r="C20">
        <v>507</v>
      </c>
      <c r="D20" s="64">
        <v>15.56</v>
      </c>
      <c r="E20" t="s">
        <v>502</v>
      </c>
      <c r="F20" s="64">
        <v>36.9</v>
      </c>
      <c r="G20" s="64">
        <v>11.3</v>
      </c>
      <c r="H20" s="64">
        <v>2.3E-2</v>
      </c>
      <c r="I20" s="378" t="s">
        <v>423</v>
      </c>
      <c r="J20" s="379" t="s">
        <v>503</v>
      </c>
    </row>
    <row r="21" spans="1:10" x14ac:dyDescent="0.25">
      <c r="A21" t="s">
        <v>105</v>
      </c>
      <c r="B21" s="380">
        <v>8</v>
      </c>
      <c r="C21">
        <v>865</v>
      </c>
      <c r="D21" s="64">
        <v>25</v>
      </c>
      <c r="E21" t="s">
        <v>502</v>
      </c>
      <c r="F21" s="64">
        <v>23</v>
      </c>
      <c r="G21" s="64">
        <v>7</v>
      </c>
      <c r="H21" s="64">
        <v>1.4E-2</v>
      </c>
      <c r="I21" s="378" t="s">
        <v>423</v>
      </c>
      <c r="J21" s="379" t="s">
        <v>503</v>
      </c>
    </row>
    <row r="22" spans="1:10" x14ac:dyDescent="0.25">
      <c r="A22" t="s">
        <v>123</v>
      </c>
      <c r="B22" s="380">
        <v>10</v>
      </c>
      <c r="C22">
        <v>1550</v>
      </c>
      <c r="D22" s="64">
        <v>44.62</v>
      </c>
      <c r="E22" t="s">
        <v>502</v>
      </c>
      <c r="F22" s="64">
        <v>12.9</v>
      </c>
      <c r="G22" s="64">
        <v>3.9</v>
      </c>
      <c r="H22" s="64">
        <v>8.0000000000000002E-3</v>
      </c>
      <c r="I22" s="378" t="s">
        <v>423</v>
      </c>
      <c r="J22" s="379" t="s">
        <v>503</v>
      </c>
    </row>
    <row r="23" spans="1:10" x14ac:dyDescent="0.25">
      <c r="A23" t="s">
        <v>122</v>
      </c>
      <c r="B23" s="380">
        <v>12</v>
      </c>
      <c r="C23">
        <v>1905</v>
      </c>
      <c r="D23" s="64">
        <v>64.55</v>
      </c>
      <c r="E23" t="s">
        <v>502</v>
      </c>
      <c r="F23" s="64">
        <v>8.9</v>
      </c>
      <c r="G23" s="64">
        <v>2.7</v>
      </c>
      <c r="H23" s="64">
        <v>5.0000000000000001E-3</v>
      </c>
      <c r="I23" s="378" t="s">
        <v>423</v>
      </c>
      <c r="J23" s="379" t="s">
        <v>503</v>
      </c>
    </row>
    <row r="24" spans="1:10" x14ac:dyDescent="0.25">
      <c r="B24" s="380"/>
    </row>
    <row r="25" spans="1:10" x14ac:dyDescent="0.25">
      <c r="B25" s="380"/>
    </row>
    <row r="26" spans="1:10" x14ac:dyDescent="0.25">
      <c r="B26" s="380"/>
    </row>
    <row r="27" spans="1:10" x14ac:dyDescent="0.25">
      <c r="B27" s="380"/>
    </row>
    <row r="28" spans="1:10" x14ac:dyDescent="0.25">
      <c r="B28" s="380"/>
    </row>
    <row r="29" spans="1:10" x14ac:dyDescent="0.25">
      <c r="B29" s="380"/>
    </row>
    <row r="30" spans="1:10" x14ac:dyDescent="0.25">
      <c r="B30" s="380"/>
    </row>
    <row r="203" spans="1:1" x14ac:dyDescent="0.25">
      <c r="A203" t="s">
        <v>508</v>
      </c>
    </row>
  </sheetData>
  <dataValidations count="3">
    <dataValidation type="list" allowBlank="1" showInputMessage="1" showErrorMessage="1" sqref="G4" xr:uid="{E0E0B026-F8E2-426F-8D7D-149338E9E4D5}">
      <formula1>"""50,80,120"""</formula1>
    </dataValidation>
    <dataValidation type="list" allowBlank="1" showInputMessage="1" showErrorMessage="1" sqref="C3" xr:uid="{531AF567-019E-4696-AC66-CD4AA24C561C}">
      <formula1>"""Dry Saturated,Wet Saturated,Superheated"""</formula1>
    </dataValidation>
    <dataValidation type="list" errorStyle="warning" allowBlank="1" showInputMessage="1" showErrorMessage="1" sqref="J2 J3" xr:uid="{CBBC5947-1A12-4225-8366-447ABDE312DE}">
      <formula1>"""0.5,0.75,1,1.25,1.5,2,2.5,3,4,5,6,8,10,12"""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tnCalcVelocity">
              <controlPr defaultSize="0" print="0" autoFill="0" autoPict="0" macro="CalculateOutletVelocity">
                <anchor moveWithCells="1" sizeWithCells="1">
                  <from>
                    <xdr:col>4</xdr:col>
                    <xdr:colOff>769620</xdr:colOff>
                    <xdr:row>0</xdr:row>
                    <xdr:rowOff>114300</xdr:rowOff>
                  </from>
                  <to>
                    <xdr:col>6</xdr:col>
                    <xdr:colOff>335280</xdr:colOff>
                    <xdr:row>2</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305809B-7DAC-4102-BF7A-00DCACE9AD1C}">
          <x14:formula1>
            <xm:f>Config!$Q$2:$Q$7</xm:f>
          </x14:formula1>
          <xm:sqref>C2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DC9E8-A61C-442E-B283-5DA1DC45B172}">
  <sheetPr codeName="Sheet4"/>
  <dimension ref="A1:K1"/>
  <sheetViews>
    <sheetView workbookViewId="0">
      <selection activeCell="F17" sqref="F17"/>
    </sheetView>
  </sheetViews>
  <sheetFormatPr defaultRowHeight="13.2" x14ac:dyDescent="0.25"/>
  <cols>
    <col min="1" max="2" width="9.44140625" customWidth="1"/>
    <col min="3" max="3" width="9.77734375" customWidth="1"/>
    <col min="4" max="4" width="13.88671875" customWidth="1"/>
    <col min="5" max="5" width="13.5546875" customWidth="1"/>
    <col min="6" max="7" width="21.21875" customWidth="1"/>
    <col min="8" max="8" width="56.33203125" customWidth="1"/>
    <col min="9" max="9" width="9.77734375" customWidth="1"/>
    <col min="10" max="10" width="15.77734375" customWidth="1"/>
    <col min="11" max="11" width="43.6640625" customWidth="1"/>
  </cols>
  <sheetData>
    <row r="1" spans="1:11" s="395" customFormat="1" ht="28.8" x14ac:dyDescent="0.25">
      <c r="A1" s="394" t="s">
        <v>485</v>
      </c>
      <c r="B1" s="394" t="s">
        <v>495</v>
      </c>
      <c r="C1" s="394" t="s">
        <v>486</v>
      </c>
      <c r="D1" s="395" t="s">
        <v>487</v>
      </c>
      <c r="E1" s="395" t="s">
        <v>488</v>
      </c>
      <c r="F1" s="395" t="s">
        <v>489</v>
      </c>
      <c r="G1" s="395" t="s">
        <v>494</v>
      </c>
      <c r="H1" s="395" t="s">
        <v>490</v>
      </c>
      <c r="I1" s="395" t="s">
        <v>491</v>
      </c>
      <c r="J1" s="395" t="s">
        <v>492</v>
      </c>
      <c r="K1" s="395" t="s">
        <v>493</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44</vt:i4>
      </vt:variant>
    </vt:vector>
  </HeadingPairs>
  <TitlesOfParts>
    <vt:vector size="57" baseType="lpstr">
      <vt:lpstr>Config</vt:lpstr>
      <vt:lpstr>Calculator</vt:lpstr>
      <vt:lpstr>OneThirdTwoThird</vt:lpstr>
      <vt:lpstr>Summary</vt:lpstr>
      <vt:lpstr>Tools</vt:lpstr>
      <vt:lpstr>SteamPipeSize</vt:lpstr>
      <vt:lpstr>Help</vt:lpstr>
      <vt:lpstr>BarometricPressure</vt:lpstr>
      <vt:lpstr>SaturationChartISA</vt:lpstr>
      <vt:lpstr>SaturationChartMetric</vt:lpstr>
      <vt:lpstr>Valves</vt:lpstr>
      <vt:lpstr>Velocity</vt:lpstr>
      <vt:lpstr>Updates</vt:lpstr>
      <vt:lpstr>A</vt:lpstr>
      <vt:lpstr>AP</vt:lpstr>
      <vt:lpstr>App</vt:lpstr>
      <vt:lpstr>BarPressure</vt:lpstr>
      <vt:lpstr>CoeffType</vt:lpstr>
      <vt:lpstr>cpdh</vt:lpstr>
      <vt:lpstr>Ctrl</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GenericCurveType</vt:lpstr>
      <vt:lpstr>GenericRangeability</vt:lpstr>
      <vt:lpstr>h</vt:lpstr>
      <vt:lpstr>NoiseGenericFd</vt:lpstr>
      <vt:lpstr>NoiseGenericFL</vt:lpstr>
      <vt:lpstr>PI</vt:lpstr>
      <vt:lpstr>Pia</vt:lpstr>
      <vt:lpstr>PipeNPS</vt:lpstr>
      <vt:lpstr>PipeOD</vt:lpstr>
      <vt:lpstr>PipeSch40Wall</vt:lpstr>
      <vt:lpstr>PipeSch80Wall</vt:lpstr>
      <vt:lpstr>piValue</vt:lpstr>
      <vt:lpstr>PO</vt:lpstr>
      <vt:lpstr>POA</vt:lpstr>
      <vt:lpstr>poValue</vt:lpstr>
      <vt:lpstr>PSI</vt:lpstr>
      <vt:lpstr>PSO</vt:lpstr>
      <vt:lpstr>Q</vt:lpstr>
      <vt:lpstr>qValue</vt:lpstr>
      <vt:lpstr>rDate</vt:lpstr>
      <vt:lpstr>rUpdMode</vt:lpstr>
      <vt:lpstr>rVersion</vt:lpstr>
      <vt:lpstr>SATURATIONCHART</vt:lpstr>
      <vt:lpstr>SATURATIONCHARTMETRIC</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2026-07-10T18:37:44Z</dcterms:modified>
</cp:coreProperties>
</file>