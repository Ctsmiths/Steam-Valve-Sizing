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smithri\Documents\8_Training\Courses\Steam Valve Sizing\"/>
    </mc:Choice>
  </mc:AlternateContent>
  <xr:revisionPtr revIDLastSave="0" documentId="13_ncr:1_{7866F9F7-5B0B-49C7-A58C-0400AEF70E68}" xr6:coauthVersionLast="47" xr6:coauthVersionMax="47" xr10:uidLastSave="{00000000-0000-0000-0000-000000000000}"/>
  <bookViews>
    <workbookView xWindow="-120" yWindow="-120" windowWidth="29040" windowHeight="15840" tabRatio="812" xr2:uid="{00000000-000D-0000-FFFF-FFFF00000000}"/>
  </bookViews>
  <sheets>
    <sheet name="Calculator" sheetId="24" r:id="rId1"/>
    <sheet name="Summary" sheetId="27" r:id="rId2"/>
    <sheet name="Config" sheetId="18" state="hidden" r:id="rId3"/>
    <sheet name="BarometricPressure" sheetId="25" r:id="rId4"/>
    <sheet name="Saturation Chart, ISA" sheetId="6" r:id="rId5"/>
    <sheet name="Saturation Chart, Metric" sheetId="21" r:id="rId6"/>
  </sheets>
  <definedNames>
    <definedName name="AP">Calculator!$C$15</definedName>
    <definedName name="App">Calculator!$D$6</definedName>
    <definedName name="BarPressure">Calculator!$D$15</definedName>
    <definedName name="cpdh">Calculator!$H$38</definedName>
    <definedName name="Ctrl">Calculator!$D$8</definedName>
    <definedName name="CvL">Calculator!$C$28</definedName>
    <definedName name="CvM">Calculator!$H$28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DSPM">Calculator!$H$24</definedName>
    <definedName name="FlowRate">Calculator!$D$12</definedName>
    <definedName name="frOneThird">Calculator!$C$41</definedName>
    <definedName name="frTwoThird">Calculator!$D$41</definedName>
    <definedName name="h">Calculator!$C$25</definedName>
    <definedName name="hM">Calculator!$H$25</definedName>
    <definedName name="PI">Calculator!$C$13</definedName>
    <definedName name="Pia">Calculator!$H$26</definedName>
    <definedName name="PO">Calculator!$C$14</definedName>
    <definedName name="POA">Calculator!$C$27</definedName>
    <definedName name="PoaM">Calculator!$H$27</definedName>
    <definedName name="PSI">Calculator!$D$14</definedName>
    <definedName name="Q">Calculator!$N$25</definedName>
    <definedName name="SATURATIONCHART">'Saturation Chart, ISA'!$A$1</definedName>
    <definedName name="SATURATIONCHARTMETRIC">'Saturation Chart, Metric'!$A$1</definedName>
    <definedName name="TAG">Calculator!$N$24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24" l="1"/>
</calcChain>
</file>

<file path=xl/sharedStrings.xml><?xml version="1.0" encoding="utf-8"?>
<sst xmlns="http://schemas.openxmlformats.org/spreadsheetml/2006/main" count="205" uniqueCount="154">
  <si>
    <t>Pressure</t>
  </si>
  <si>
    <t>(psig)</t>
  </si>
  <si>
    <t>(°F)</t>
  </si>
  <si>
    <t>Properties of Saturated Steam</t>
  </si>
  <si>
    <t>Temper-  ature</t>
  </si>
  <si>
    <t>Heat (BTU/lb)</t>
  </si>
  <si>
    <r>
      <t>Volume (ft</t>
    </r>
    <r>
      <rPr>
        <b/>
        <vertAlign val="superscript"/>
        <sz val="10"/>
        <rFont val="Arial"/>
        <family val="2"/>
      </rPr>
      <t>3</t>
    </r>
    <r>
      <rPr>
        <b/>
        <sz val="10"/>
        <rFont val="Arial"/>
        <family val="2"/>
      </rPr>
      <t>/lb)</t>
    </r>
  </si>
  <si>
    <t>Volume (ft3/lb)</t>
  </si>
  <si>
    <t>Sensible</t>
  </si>
  <si>
    <t>Latent</t>
  </si>
  <si>
    <t>Total</t>
  </si>
  <si>
    <t>Cond</t>
  </si>
  <si>
    <t>Steam</t>
  </si>
  <si>
    <t>(in Hg vac)</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</si>
  <si>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</si>
  <si>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</si>
  <si>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</si>
  <si>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</si>
  <si>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</si>
  <si>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</si>
  <si>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</si>
  <si>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</si>
  <si>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</si>
  <si>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</si>
  <si>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</si>
  <si>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</si>
  <si>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</si>
  <si>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</si>
  <si>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Corrected Pressure Drop [h]</t>
  </si>
  <si>
    <t>Corrected Pressure Drop [h] Based on Valve Cv</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</si>
  <si>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</si>
  <si>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</si>
  <si>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</si>
  <si>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</si>
  <si>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</si>
  <si>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</si>
  <si>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</si>
  <si>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</si>
  <si>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</si>
  <si>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</si>
  <si>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</si>
  <si>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</si>
  <si>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</si>
  <si>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</si>
  <si>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</si>
  <si>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</si>
  <si>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</si>
  <si>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</si>
  <si>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</si>
  <si>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</si>
  <si>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</si>
  <si>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</si>
  <si>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</si>
  <si>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</si>
  <si>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</si>
  <si>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</si>
  <si>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</si>
  <si>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</si>
  <si>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</si>
  <si>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</si>
  <si>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</si>
  <si>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</si>
  <si>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</si>
  <si>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</si>
  <si>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</si>
  <si>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</si>
  <si>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</si>
  <si>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</si>
  <si>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</si>
  <si>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</si>
  <si>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</si>
  <si>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</si>
  <si>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</si>
  <si>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</si>
  <si>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</si>
  <si>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</si>
  <si>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</si>
  <si>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</si>
  <si>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</si>
  <si>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</si>
  <si>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</si>
  <si>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</si>
  <si>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</si>
  <si>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</si>
  <si>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</si>
  <si>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</si>
  <si>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</si>
  <si>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</si>
  <si>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</si>
  <si>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</si>
  <si>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</si>
  <si>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</si>
  <si>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[Pia]</t>
  </si>
  <si>
    <t>i nned to modulate that pressure from 5 psi to 0 psi</t>
  </si>
  <si>
    <t>Meta AI</t>
  </si>
  <si>
    <t>In that case, you would need a control valve that can modulate the pressure from 5 psi to 0 psi.</t>
  </si>
  <si>
    <t>To size the control valve, you can use the same Cv calculation, but with a few adjustments:</t>
  </si>
  <si>
    <r>
      <t>1. Determine the pressure drop</t>
    </r>
    <r>
      <rPr>
        <sz val="10"/>
        <rFont val="Arial"/>
        <family val="2"/>
      </rPr>
      <t>:</t>
    </r>
  </si>
  <si>
    <t>ΔP = Supply pressure - Lowest expected pressure</t>
  </si>
  <si>
    <t>= 5 psi - 0 psi</t>
  </si>
  <si>
    <t>= 5 psi</t>
  </si>
  <si>
    <r>
      <t>2. Calculate the Cv factor</t>
    </r>
    <r>
      <rPr>
        <sz val="10"/>
        <rFont val="Arial"/>
        <family val="2"/>
      </rPr>
      <t>:</t>
    </r>
  </si>
  <si>
    <t>Cv = (W x √ΔP) / (P1 x √(1 - (ΔP/P1)))</t>
  </si>
  <si>
    <t>where:</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</si>
  <si>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</si>
  <si>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</si>
  <si>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</si>
  <si>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</si>
  <si>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</si>
  <si>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</si>
  <si>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</si>
  <si>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</si>
  <si>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</si>
  <si>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</si>
  <si>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</si>
  <si>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</si>
  <si>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</si>
  <si>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</si>
  <si>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Low Pressure Steam &lt;= 15 PSI</t>
  </si>
  <si>
    <t>Medium Pressure Steam &gt;15 to 50 PSI</t>
  </si>
  <si>
    <t>Downstream Psig [DSPM]</t>
  </si>
  <si>
    <t>PSI DROP [hM]</t>
  </si>
  <si>
    <t>[PoaM]</t>
  </si>
  <si>
    <t>Cv REQUIRED [CvM]</t>
  </si>
  <si>
    <t>Cv REQUIRED [CvL]</t>
  </si>
  <si>
    <t>`</t>
  </si>
  <si>
    <t>PSIG</t>
  </si>
  <si>
    <t>Percentage</t>
  </si>
  <si>
    <t xml:space="preserve">      PSIG (gauge)</t>
  </si>
  <si>
    <t>Cv 1/3rd - 2/3rd :</t>
  </si>
  <si>
    <t xml:space="preserve"> </t>
  </si>
  <si>
    <t>Cv</t>
  </si>
  <si>
    <t>Tag</t>
  </si>
  <si>
    <t>Unit</t>
  </si>
  <si>
    <t>Outlet Pressure</t>
  </si>
  <si>
    <t>Drop Ratio %</t>
  </si>
  <si>
    <t>[psi]</t>
  </si>
  <si>
    <t>[psia]</t>
  </si>
  <si>
    <t>Critical</t>
  </si>
  <si>
    <t>N/A</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</si>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</sst>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0000"/>
    <numFmt numFmtId="165" formatCode="0.0"/>
    <numFmt numFmtId="166" formatCode="0.000"/>
    <numFmt numFmtId="167" formatCode="0.0???"/>
    <numFmt numFmtId="168" formatCode="0.000??"/>
    <numFmt numFmtId="169" formatCode="0.0000"/>
    <numFmt numFmtId="170" formatCode="0.000?"/>
    <numFmt numFmtId="171" formatCode="0.00??"/>
    <numFmt numFmtId="172" formatCode="0.0??"/>
    <numFmt numFmtId="173" formatCode="0.000000"/>
    <numFmt numFmtId="174" formatCode="0.0?"/>
    <numFmt numFmtId="175" formatCode="0.00000000"/>
    <numFmt numFmtId="176" formatCode="0.00000?"/>
    <numFmt numFmtId="177" formatCode="0.0000?"/>
    <numFmt numFmtId="178" formatCode="0_x"/>
    <numFmt numFmtId="179" formatCode="0_x_x_x"/>
    <numFmt numFmtId="180" formatCode="0_x_x"/>
    <numFmt numFmtId="181" formatCode="0.0_x_x"/>
    <numFmt numFmtId="182" formatCode="0.00_x"/>
  </numFmts>
  <fonts count="45"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sz val="10"/>
      <color theme="0"/>
      <name val="Arial"/>
      <family val="2"/>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1"/>
      <name val="Aptos Narrow"/>
      <family val="2"/>
      <scheme val="minor"/>
    </font>
    <font>
      <sz val="11"/>
      <color rgb="FF228B22"/>
      <name val="Arial"/>
      <family val="2"/>
    </font>
    <font>
      <sz val="10"/>
      <color theme="1"/>
      <name val="Arial"/>
      <family val="2"/>
    </font>
    <font>
      <b/>
      <sz val="10"/>
      <color theme="1"/>
      <name val="Arial"/>
      <family val="2"/>
    </font>
  </fonts>
  <fills count="12">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medium">
        <color indexed="64"/>
      </left>
      <right/>
      <top/>
      <bottom style="thick">
        <color auto="1"/>
      </bottom>
      <diagonal/>
    </border>
    <border>
      <left/>
      <right style="medium">
        <color indexed="64"/>
      </right>
      <top/>
      <bottom style="thick">
        <color auto="1"/>
      </bottom>
      <diagonal/>
    </border>
  </borders>
  <cellStyleXfs count="5">
    <xf numFmtId="0" fontId="0" fillId="0" borderId="0"/>
    <xf numFmtId="0" fontId="21" fillId="0" borderId="0" applyNumberFormat="0" applyFill="0" applyBorder="0" applyAlignment="0" applyProtection="0">
      <alignment vertical="top"/>
      <protection locked="0"/>
    </xf>
    <xf numFmtId="0" fontId="24" fillId="0" borderId="0"/>
    <xf numFmtId="0" fontId="12" fillId="0" borderId="0"/>
    <xf numFmtId="0" fontId="40" fillId="0" borderId="0" applyNumberFormat="0" applyFill="0" applyBorder="0" applyAlignment="0" applyProtection="0">
      <alignment vertical="top"/>
      <protection locked="0"/>
    </xf>
  </cellStyleXfs>
  <cellXfs count="238">
    <xf numFmtId="0" fontId="0" fillId="0" borderId="0" xfId="0"/>
    <xf numFmtId="0" fontId="0" fillId="0" borderId="0" xfId="0" applyAlignment="1">
      <alignment vertical="center"/>
    </xf>
    <xf numFmtId="0" fontId="0" fillId="0" borderId="0" xfId="0" applyAlignment="1">
      <alignment vertical="center" wrapText="1"/>
    </xf>
    <xf numFmtId="174" fontId="13" fillId="0" borderId="22" xfId="0" applyNumberFormat="1" applyFont="1" applyBorder="1" applyAlignment="1">
      <alignment horizontal="centerContinuous" vertical="center" wrapText="1"/>
    </xf>
    <xf numFmtId="174" fontId="13" fillId="0" borderId="22" xfId="0" applyNumberFormat="1" applyFont="1" applyBorder="1" applyAlignment="1">
      <alignment horizontal="center" vertical="center" wrapText="1"/>
    </xf>
    <xf numFmtId="174" fontId="0" fillId="0" borderId="23" xfId="0" applyNumberFormat="1" applyBorder="1" applyAlignment="1">
      <alignment horizontal="centerContinuous" vertical="center" wrapText="1"/>
    </xf>
    <xf numFmtId="174" fontId="13" fillId="0" borderId="23" xfId="0" applyNumberFormat="1" applyFont="1" applyBorder="1" applyAlignment="1">
      <alignment horizontal="centerContinuous" vertical="center" wrapText="1"/>
    </xf>
    <xf numFmtId="176" fontId="13" fillId="0" borderId="22" xfId="0" applyNumberFormat="1" applyFont="1" applyBorder="1" applyAlignment="1">
      <alignment horizontal="centerContinuous" vertical="center" wrapText="1"/>
    </xf>
    <xf numFmtId="170" fontId="13" fillId="0" borderId="23" xfId="0" applyNumberFormat="1" applyFont="1" applyBorder="1" applyAlignment="1">
      <alignment horizontal="centerContinuous" vertical="center" wrapText="1"/>
    </xf>
    <xf numFmtId="175" fontId="13" fillId="2" borderId="24" xfId="0" applyNumberFormat="1" applyFont="1" applyFill="1" applyBorder="1" applyAlignment="1">
      <alignment horizontal="left" vertical="center" wrapText="1"/>
    </xf>
    <xf numFmtId="177" fontId="13" fillId="0" borderId="25" xfId="0" applyNumberFormat="1" applyFont="1" applyBorder="1" applyAlignment="1">
      <alignment horizontal="centerContinuous" vertical="center" wrapText="1"/>
    </xf>
    <xf numFmtId="174" fontId="22" fillId="0" borderId="8" xfId="0" applyNumberFormat="1" applyFont="1" applyBorder="1" applyAlignment="1">
      <alignment horizontal="center" vertical="center"/>
    </xf>
    <xf numFmtId="174" fontId="22" fillId="0" borderId="26" xfId="0" applyNumberFormat="1" applyFont="1" applyBorder="1" applyAlignment="1">
      <alignment horizontal="center" vertical="center"/>
    </xf>
    <xf numFmtId="174" fontId="22" fillId="0" borderId="27" xfId="0" applyNumberFormat="1" applyFont="1" applyBorder="1" applyAlignment="1">
      <alignment horizontal="center" vertical="center"/>
    </xf>
    <xf numFmtId="176" fontId="22" fillId="0" borderId="26" xfId="0" applyNumberFormat="1" applyFont="1" applyBorder="1" applyAlignment="1">
      <alignment horizontal="center" vertical="center"/>
    </xf>
    <xf numFmtId="170" fontId="22" fillId="0" borderId="27" xfId="0" applyNumberFormat="1" applyFont="1" applyBorder="1" applyAlignment="1">
      <alignment horizontal="center" vertical="center"/>
    </xf>
    <xf numFmtId="175" fontId="22" fillId="2" borderId="10" xfId="0" applyNumberFormat="1" applyFont="1" applyFill="1" applyBorder="1" applyAlignment="1">
      <alignment horizontal="center" vertical="center"/>
    </xf>
    <xf numFmtId="174" fontId="22" fillId="0" borderId="6" xfId="0" applyNumberFormat="1" applyFont="1" applyBorder="1" applyAlignment="1">
      <alignment horizontal="center" vertical="center"/>
    </xf>
    <xf numFmtId="177" fontId="22" fillId="0" borderId="15" xfId="0" applyNumberFormat="1" applyFont="1" applyBorder="1" applyAlignment="1">
      <alignment horizontal="center" vertical="center"/>
    </xf>
    <xf numFmtId="180" fontId="0" fillId="0" borderId="14" xfId="0" applyNumberFormat="1" applyBorder="1" applyAlignment="1">
      <alignment vertical="center"/>
    </xf>
    <xf numFmtId="178" fontId="0" fillId="0" borderId="14" xfId="0" applyNumberFormat="1" applyBorder="1" applyAlignment="1">
      <alignment vertical="center"/>
    </xf>
    <xf numFmtId="178" fontId="0" fillId="0" borderId="12" xfId="0" applyNumberFormat="1" applyBorder="1" applyAlignment="1">
      <alignment vertical="center"/>
    </xf>
    <xf numFmtId="176" fontId="0" fillId="0" borderId="14" xfId="0" applyNumberFormat="1" applyBorder="1" applyAlignment="1">
      <alignment vertical="center"/>
    </xf>
    <xf numFmtId="170" fontId="0" fillId="0" borderId="12" xfId="0" applyNumberFormat="1" applyBorder="1" applyAlignment="1">
      <alignment vertical="center"/>
    </xf>
    <xf numFmtId="172" fontId="0" fillId="2" borderId="10" xfId="0" applyNumberFormat="1" applyFill="1" applyBorder="1" applyAlignment="1">
      <alignment horizontal="right" vertical="center"/>
    </xf>
    <xf numFmtId="179" fontId="0" fillId="0" borderId="13" xfId="0" applyNumberFormat="1" applyBorder="1" applyAlignment="1">
      <alignment horizontal="right" vertical="center"/>
    </xf>
    <xf numFmtId="180" fontId="0" fillId="0" borderId="14" xfId="0" applyNumberFormat="1" applyBorder="1" applyAlignment="1">
      <alignment horizontal="right" vertical="center"/>
    </xf>
    <xf numFmtId="178" fontId="0" fillId="0" borderId="14" xfId="0" applyNumberFormat="1" applyBorder="1" applyAlignment="1">
      <alignment horizontal="right" vertical="center"/>
    </xf>
    <xf numFmtId="178" fontId="0" fillId="0" borderId="12" xfId="0" applyNumberFormat="1" applyBorder="1" applyAlignment="1">
      <alignment horizontal="right" vertical="center"/>
    </xf>
    <xf numFmtId="168" fontId="0" fillId="0" borderId="28" xfId="0" applyNumberFormat="1" applyBorder="1" applyAlignment="1">
      <alignment horizontal="right" vertical="center"/>
    </xf>
    <xf numFmtId="179" fontId="0" fillId="0" borderId="14" xfId="0" applyNumberFormat="1" applyBorder="1" applyAlignment="1">
      <alignment horizontal="right" vertical="center"/>
    </xf>
    <xf numFmtId="167" fontId="0" fillId="0" borderId="12" xfId="0" applyNumberFormat="1" applyBorder="1" applyAlignment="1">
      <alignment horizontal="right" vertical="center"/>
    </xf>
    <xf numFmtId="171" fontId="0" fillId="0" borderId="12" xfId="0" applyNumberFormat="1" applyBorder="1" applyAlignment="1">
      <alignment horizontal="right" vertical="center"/>
    </xf>
    <xf numFmtId="179" fontId="0" fillId="0" borderId="8" xfId="0" applyNumberFormat="1" applyBorder="1" applyAlignment="1">
      <alignment horizontal="right" vertical="center"/>
    </xf>
    <xf numFmtId="180" fontId="0" fillId="0" borderId="8" xfId="0" applyNumberFormat="1" applyBorder="1" applyAlignment="1">
      <alignment horizontal="right" vertical="center"/>
    </xf>
    <xf numFmtId="178" fontId="0" fillId="0" borderId="8" xfId="0" applyNumberFormat="1" applyBorder="1" applyAlignment="1">
      <alignment horizontal="right" vertical="center"/>
    </xf>
    <xf numFmtId="178" fontId="0" fillId="0" borderId="5" xfId="0" applyNumberFormat="1" applyBorder="1" applyAlignment="1">
      <alignment horizontal="right" vertical="center"/>
    </xf>
    <xf numFmtId="176" fontId="0" fillId="0" borderId="8" xfId="0" applyNumberFormat="1" applyBorder="1" applyAlignment="1">
      <alignment vertical="center"/>
    </xf>
    <xf numFmtId="171" fontId="0" fillId="0" borderId="5" xfId="0" applyNumberFormat="1" applyBorder="1" applyAlignment="1">
      <alignment horizontal="right" vertical="center"/>
    </xf>
    <xf numFmtId="171" fontId="0" fillId="0" borderId="12" xfId="0" applyNumberFormat="1" applyBorder="1" applyAlignment="1">
      <alignment vertical="center"/>
    </xf>
    <xf numFmtId="179" fontId="0" fillId="0" borderId="6" xfId="0" applyNumberFormat="1" applyBorder="1" applyAlignment="1">
      <alignment horizontal="right" vertical="center"/>
    </xf>
    <xf numFmtId="168" fontId="0" fillId="0" borderId="29" xfId="0" applyNumberFormat="1" applyBorder="1" applyAlignment="1">
      <alignment horizontal="right" vertical="center"/>
    </xf>
    <xf numFmtId="170" fontId="0" fillId="0" borderId="5" xfId="0" applyNumberFormat="1" applyBorder="1" applyAlignment="1">
      <alignment horizontal="right" vertical="center"/>
    </xf>
    <xf numFmtId="170" fontId="0" fillId="0" borderId="12" xfId="0" applyNumberFormat="1" applyBorder="1" applyAlignment="1">
      <alignment horizontal="right" vertical="center"/>
    </xf>
    <xf numFmtId="177" fontId="0" fillId="0" borderId="29" xfId="0" applyNumberFormat="1" applyBorder="1" applyAlignment="1">
      <alignment horizontal="right" vertical="center"/>
    </xf>
    <xf numFmtId="177" fontId="0" fillId="0" borderId="28" xfId="0" applyNumberFormat="1" applyBorder="1" applyAlignment="1">
      <alignment horizontal="right" vertical="center"/>
    </xf>
    <xf numFmtId="172" fontId="0" fillId="2" borderId="7" xfId="0" applyNumberFormat="1" applyFill="1" applyBorder="1" applyAlignment="1">
      <alignment horizontal="right" vertical="center"/>
    </xf>
    <xf numFmtId="176" fontId="0" fillId="0" borderId="0" xfId="0" applyNumberFormat="1" applyAlignment="1">
      <alignment vertical="center"/>
    </xf>
    <xf numFmtId="170" fontId="0" fillId="0" borderId="0" xfId="0" applyNumberFormat="1" applyAlignment="1">
      <alignment vertical="center"/>
    </xf>
    <xf numFmtId="172" fontId="0" fillId="0" borderId="0" xfId="0" applyNumberFormat="1" applyAlignment="1">
      <alignment horizontal="right" vertical="center"/>
    </xf>
    <xf numFmtId="176" fontId="0" fillId="0" borderId="0" xfId="0" applyNumberFormat="1" applyAlignment="1">
      <alignment horizontal="right" vertical="center"/>
    </xf>
    <xf numFmtId="177" fontId="0" fillId="0" borderId="0" xfId="0" applyNumberFormat="1" applyAlignment="1">
      <alignment horizontal="right" vertical="center"/>
    </xf>
    <xf numFmtId="174" fontId="0" fillId="0" borderId="0" xfId="0" applyNumberFormat="1" applyAlignment="1">
      <alignment vertical="center"/>
    </xf>
    <xf numFmtId="177" fontId="0" fillId="0" borderId="0" xfId="0" applyNumberFormat="1" applyAlignment="1">
      <alignment vertical="center"/>
    </xf>
    <xf numFmtId="0" fontId="22" fillId="0" borderId="14" xfId="0" applyFont="1" applyBorder="1" applyAlignment="1">
      <alignment horizontal="center" vertical="center"/>
    </xf>
    <xf numFmtId="0" fontId="20" fillId="0" borderId="0" xfId="0" applyFont="1" applyAlignment="1">
      <alignment vertical="center"/>
    </xf>
    <xf numFmtId="0" fontId="18" fillId="0" borderId="0" xfId="0" applyFont="1" applyAlignment="1">
      <alignment horizontal="left" vertical="center" indent="1"/>
    </xf>
    <xf numFmtId="0" fontId="20" fillId="0" borderId="0" xfId="0" applyFont="1" applyAlignment="1">
      <alignment horizontal="left" vertical="center"/>
    </xf>
    <xf numFmtId="0" fontId="14" fillId="0" borderId="0" xfId="0" applyFont="1" applyAlignment="1">
      <alignment vertical="center"/>
    </xf>
    <xf numFmtId="0" fontId="14" fillId="0" borderId="0" xfId="0" applyFont="1" applyAlignment="1">
      <alignment horizontal="left" vertical="center" indent="1"/>
    </xf>
    <xf numFmtId="166" fontId="1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14" fillId="0" borderId="0" xfId="0" applyNumberFormat="1" applyFont="1" applyAlignment="1">
      <alignment horizontal="right" vertical="center"/>
    </xf>
    <xf numFmtId="165" fontId="0" fillId="0" borderId="0" xfId="0" applyNumberFormat="1" applyAlignment="1">
      <alignment horizontal="right" vertical="center"/>
    </xf>
    <xf numFmtId="169" fontId="0" fillId="0" borderId="0" xfId="0" applyNumberFormat="1" applyAlignment="1">
      <alignment horizontal="right" vertical="center"/>
    </xf>
    <xf numFmtId="0" fontId="0" fillId="0" borderId="0" xfId="0" applyAlignment="1">
      <alignment horizontal="center" vertical="center"/>
    </xf>
    <xf numFmtId="0" fontId="15" fillId="0" borderId="0" xfId="0" applyFont="1" applyAlignment="1">
      <alignment horizontal="center" vertical="center" wrapText="1"/>
    </xf>
    <xf numFmtId="173" fontId="0" fillId="0" borderId="14" xfId="0" applyNumberFormat="1" applyBorder="1" applyAlignment="1">
      <alignment vertical="center"/>
    </xf>
    <xf numFmtId="173" fontId="0" fillId="0" borderId="8" xfId="0" applyNumberFormat="1" applyBorder="1" applyAlignment="1">
      <alignment vertical="center"/>
    </xf>
    <xf numFmtId="169" fontId="0" fillId="0" borderId="12"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1" fontId="0" fillId="0" borderId="13" xfId="0" applyNumberFormat="1" applyBorder="1" applyAlignment="1">
      <alignment horizontal="right" vertical="center"/>
    </xf>
    <xf numFmtId="182" fontId="0" fillId="0" borderId="3" xfId="0" applyNumberFormat="1" applyBorder="1" applyAlignment="1">
      <alignment horizontal="right" vertical="center"/>
    </xf>
    <xf numFmtId="181" fontId="0" fillId="0" borderId="27" xfId="0" applyNumberFormat="1" applyBorder="1" applyAlignment="1">
      <alignment horizontal="right" vertical="center"/>
    </xf>
    <xf numFmtId="181" fontId="0" fillId="0" borderId="12" xfId="0" applyNumberFormat="1" applyBorder="1" applyAlignment="1">
      <alignment horizontal="right" vertical="center"/>
    </xf>
    <xf numFmtId="181" fontId="0" fillId="0" borderId="1" xfId="0" applyNumberFormat="1" applyBorder="1" applyAlignment="1">
      <alignment horizontal="right" vertical="center"/>
    </xf>
    <xf numFmtId="182" fontId="0" fillId="0" borderId="26" xfId="0" applyNumberFormat="1" applyBorder="1" applyAlignment="1">
      <alignment horizontal="right" vertical="center"/>
    </xf>
    <xf numFmtId="182" fontId="0" fillId="0" borderId="14" xfId="0" applyNumberFormat="1" applyBorder="1" applyAlignment="1">
      <alignment horizontal="right" vertical="center"/>
    </xf>
    <xf numFmtId="182" fontId="0" fillId="0" borderId="8" xfId="0" applyNumberFormat="1" applyBorder="1" applyAlignment="1">
      <alignment horizontal="right" vertical="center"/>
    </xf>
    <xf numFmtId="181" fontId="0" fillId="0" borderId="6" xfId="0" applyNumberFormat="1" applyBorder="1" applyAlignment="1">
      <alignment horizontal="right" vertical="center"/>
    </xf>
    <xf numFmtId="0" fontId="12" fillId="0" borderId="0" xfId="3"/>
    <xf numFmtId="0" fontId="26" fillId="0" borderId="0" xfId="3" applyFont="1" applyAlignment="1">
      <alignment horizontal="center"/>
    </xf>
    <xf numFmtId="0" fontId="12" fillId="0" borderId="0" xfId="3" applyAlignment="1">
      <alignment horizontal="right"/>
    </xf>
    <xf numFmtId="0" fontId="12" fillId="0" borderId="0" xfId="3" applyAlignment="1">
      <alignment horizontal="center"/>
    </xf>
    <xf numFmtId="0" fontId="12" fillId="0" borderId="31" xfId="3" applyBorder="1"/>
    <xf numFmtId="0" fontId="23" fillId="0" borderId="0" xfId="3" applyFont="1" applyAlignment="1">
      <alignment horizontal="center"/>
    </xf>
    <xf numFmtId="0" fontId="27" fillId="6" borderId="11" xfId="3" applyFont="1" applyFill="1" applyBorder="1" applyAlignment="1">
      <alignment horizontal="right"/>
    </xf>
    <xf numFmtId="0" fontId="12" fillId="6" borderId="19" xfId="3" applyFill="1" applyBorder="1"/>
    <xf numFmtId="0" fontId="25" fillId="7" borderId="6" xfId="3" applyFont="1" applyFill="1" applyBorder="1" applyAlignment="1">
      <alignment horizontal="center"/>
    </xf>
    <xf numFmtId="0" fontId="15" fillId="7" borderId="11" xfId="3" applyFont="1" applyFill="1" applyBorder="1" applyAlignment="1">
      <alignment horizontal="right"/>
    </xf>
    <xf numFmtId="0" fontId="12" fillId="7" borderId="19" xfId="3" applyFill="1" applyBorder="1"/>
    <xf numFmtId="0" fontId="14" fillId="7" borderId="11" xfId="3" applyFont="1" applyFill="1" applyBorder="1" applyAlignment="1">
      <alignment horizontal="right"/>
    </xf>
    <xf numFmtId="0" fontId="27" fillId="7" borderId="11" xfId="3" applyFont="1" applyFill="1" applyBorder="1" applyAlignment="1">
      <alignment horizontal="right"/>
    </xf>
    <xf numFmtId="2" fontId="15" fillId="7" borderId="0" xfId="3" applyNumberFormat="1" applyFont="1" applyFill="1" applyAlignment="1">
      <alignment horizontal="center"/>
    </xf>
    <xf numFmtId="0" fontId="23" fillId="7" borderId="19" xfId="3" applyFont="1" applyFill="1" applyBorder="1" applyAlignment="1">
      <alignment horizontal="center"/>
    </xf>
    <xf numFmtId="0" fontId="14" fillId="0" borderId="0" xfId="0" applyFont="1"/>
    <xf numFmtId="0" fontId="14" fillId="0" borderId="0" xfId="0" applyFont="1" applyAlignment="1">
      <alignment vertical="center" wrapText="1"/>
    </xf>
    <xf numFmtId="2" fontId="15" fillId="0" borderId="0" xfId="0" applyNumberFormat="1" applyFont="1" applyAlignment="1">
      <alignment horizontal="center" vertical="center" wrapText="1"/>
    </xf>
    <xf numFmtId="2" fontId="14" fillId="0" borderId="0" xfId="0" applyNumberFormat="1" applyFont="1" applyAlignment="1">
      <alignment vertical="center" wrapText="1"/>
    </xf>
    <xf numFmtId="2" fontId="0" fillId="0" borderId="0" xfId="0" applyNumberFormat="1"/>
    <xf numFmtId="2" fontId="15" fillId="0" borderId="0" xfId="0" applyNumberFormat="1" applyFont="1" applyAlignment="1">
      <alignment horizontal="right" vertical="center" wrapText="1"/>
    </xf>
    <xf numFmtId="0" fontId="15" fillId="0" borderId="0" xfId="0" applyFont="1" applyAlignment="1">
      <alignment horizontal="left" vertical="center" wrapText="1"/>
    </xf>
    <xf numFmtId="0" fontId="15" fillId="0" borderId="0" xfId="0" applyFont="1"/>
    <xf numFmtId="0" fontId="28" fillId="7" borderId="19" xfId="3" applyFont="1" applyFill="1" applyBorder="1"/>
    <xf numFmtId="0" fontId="12" fillId="7" borderId="35" xfId="3" applyFill="1" applyBorder="1"/>
    <xf numFmtId="0" fontId="14" fillId="6" borderId="11" xfId="3" applyFont="1" applyFill="1" applyBorder="1" applyAlignment="1">
      <alignment horizontal="right"/>
    </xf>
    <xf numFmtId="2" fontId="12" fillId="6" borderId="19" xfId="3" applyNumberFormat="1" applyFill="1" applyBorder="1" applyAlignment="1">
      <alignment horizontal="center"/>
    </xf>
    <xf numFmtId="0" fontId="12" fillId="7" borderId="9" xfId="3" applyFill="1" applyBorder="1"/>
    <xf numFmtId="0" fontId="25" fillId="7" borderId="25" xfId="3" applyFont="1" applyFill="1" applyBorder="1" applyAlignment="1">
      <alignment horizontal="center"/>
    </xf>
    <xf numFmtId="0" fontId="15" fillId="7" borderId="11" xfId="3" applyFont="1" applyFill="1" applyBorder="1" applyAlignment="1">
      <alignment horizontal="center"/>
    </xf>
    <xf numFmtId="0" fontId="25" fillId="7" borderId="8" xfId="3" applyFont="1" applyFill="1" applyBorder="1" applyAlignment="1">
      <alignment horizontal="center"/>
    </xf>
    <xf numFmtId="0" fontId="25" fillId="7" borderId="35" xfId="3" applyFont="1" applyFill="1" applyBorder="1" applyAlignment="1">
      <alignment horizontal="center"/>
    </xf>
    <xf numFmtId="0" fontId="23" fillId="7" borderId="11" xfId="3" applyFont="1" applyFill="1" applyBorder="1" applyAlignment="1">
      <alignment horizontal="center" vertical="center"/>
    </xf>
    <xf numFmtId="0" fontId="12" fillId="7" borderId="0" xfId="3" applyFill="1" applyAlignment="1">
      <alignment horizontal="center" vertical="center"/>
    </xf>
    <xf numFmtId="0" fontId="12" fillId="7" borderId="19" xfId="3" applyFill="1" applyBorder="1" applyAlignment="1">
      <alignment horizontal="center" vertical="center"/>
    </xf>
    <xf numFmtId="0" fontId="28" fillId="7" borderId="0" xfId="3" applyFont="1" applyFill="1"/>
    <xf numFmtId="0" fontId="15" fillId="7" borderId="0" xfId="3" applyFont="1" applyFill="1" applyAlignment="1">
      <alignment horizontal="center"/>
    </xf>
    <xf numFmtId="0" fontId="15" fillId="7" borderId="19" xfId="3" applyFont="1" applyFill="1" applyBorder="1" applyAlignment="1">
      <alignment horizontal="center"/>
    </xf>
    <xf numFmtId="2" fontId="15" fillId="7" borderId="19" xfId="3" applyNumberFormat="1" applyFont="1" applyFill="1" applyBorder="1" applyAlignment="1">
      <alignment horizontal="center"/>
    </xf>
    <xf numFmtId="0" fontId="27" fillId="4" borderId="8" xfId="3" applyFont="1" applyFill="1" applyBorder="1" applyAlignment="1">
      <alignment horizontal="right"/>
    </xf>
    <xf numFmtId="0" fontId="23" fillId="4" borderId="35" xfId="3" applyFont="1" applyFill="1" applyBorder="1" applyAlignment="1">
      <alignment horizontal="center"/>
    </xf>
    <xf numFmtId="0" fontId="19" fillId="7" borderId="8" xfId="3" applyFont="1" applyFill="1" applyBorder="1" applyAlignment="1">
      <alignment horizontal="center"/>
    </xf>
    <xf numFmtId="2" fontId="12" fillId="6" borderId="18" xfId="3" applyNumberFormat="1" applyFill="1" applyBorder="1" applyAlignment="1">
      <alignment horizontal="center" vertical="center"/>
    </xf>
    <xf numFmtId="0" fontId="21" fillId="0" borderId="0" xfId="1" applyAlignment="1" applyProtection="1">
      <alignment vertical="center"/>
    </xf>
    <xf numFmtId="0" fontId="13" fillId="0" borderId="0" xfId="0" applyFont="1" applyAlignment="1">
      <alignment horizontal="left" vertical="center" indent="1"/>
    </xf>
    <xf numFmtId="0" fontId="10" fillId="0" borderId="0" xfId="3" applyFont="1"/>
    <xf numFmtId="0" fontId="9" fillId="0" borderId="0" xfId="3" applyFont="1" applyAlignment="1">
      <alignment horizontal="center"/>
    </xf>
    <xf numFmtId="0" fontId="8" fillId="0" borderId="0" xfId="3" quotePrefix="1" applyFont="1"/>
    <xf numFmtId="0" fontId="8" fillId="0" borderId="0" xfId="3" quotePrefix="1" applyFont="1" applyAlignment="1">
      <alignment horizontal="center"/>
    </xf>
    <xf numFmtId="0" fontId="25" fillId="7" borderId="0" xfId="3" applyFont="1" applyFill="1" applyAlignment="1">
      <alignment horizontal="center"/>
    </xf>
    <xf numFmtId="0" fontId="25" fillId="7" borderId="11" xfId="3" applyFont="1" applyFill="1" applyBorder="1" applyAlignment="1">
      <alignment horizontal="center"/>
    </xf>
    <xf numFmtId="0" fontId="25" fillId="7" borderId="19" xfId="3" applyFont="1" applyFill="1" applyBorder="1" applyAlignment="1">
      <alignment horizontal="center"/>
    </xf>
    <xf numFmtId="0" fontId="12" fillId="7" borderId="22" xfId="3" applyFill="1" applyBorder="1"/>
    <xf numFmtId="0" fontId="12" fillId="7" borderId="23" xfId="3" applyFill="1" applyBorder="1"/>
    <xf numFmtId="0" fontId="15" fillId="8" borderId="0" xfId="3" applyFont="1" applyFill="1" applyAlignment="1">
      <alignment horizontal="center"/>
    </xf>
    <xf numFmtId="0" fontId="7" fillId="7" borderId="11" xfId="3" applyFont="1" applyFill="1" applyBorder="1" applyAlignment="1">
      <alignment horizontal="right"/>
    </xf>
    <xf numFmtId="0" fontId="11" fillId="6" borderId="11" xfId="3" applyFont="1" applyFill="1" applyBorder="1" applyAlignment="1">
      <alignment horizontal="right"/>
    </xf>
    <xf numFmtId="0" fontId="28" fillId="7" borderId="19" xfId="3" applyFont="1" applyFill="1" applyBorder="1" applyAlignment="1">
      <alignment horizontal="center"/>
    </xf>
    <xf numFmtId="2" fontId="15" fillId="6" borderId="17" xfId="3" applyNumberFormat="1" applyFont="1" applyFill="1" applyBorder="1" applyAlignment="1">
      <alignment horizontal="center"/>
    </xf>
    <xf numFmtId="2" fontId="29" fillId="6" borderId="0" xfId="3" applyNumberFormat="1" applyFont="1" applyFill="1" applyAlignment="1">
      <alignment horizontal="center"/>
    </xf>
    <xf numFmtId="2" fontId="29" fillId="7" borderId="0" xfId="3" applyNumberFormat="1" applyFont="1" applyFill="1" applyAlignment="1">
      <alignment horizontal="center"/>
    </xf>
    <xf numFmtId="0" fontId="6" fillId="0" borderId="0" xfId="3" applyFont="1"/>
    <xf numFmtId="2" fontId="28" fillId="3" borderId="18" xfId="3" applyNumberFormat="1" applyFont="1" applyFill="1" applyBorder="1" applyProtection="1">
      <protection locked="0"/>
    </xf>
    <xf numFmtId="0" fontId="28" fillId="5" borderId="18" xfId="3" applyFont="1" applyFill="1" applyBorder="1" applyProtection="1">
      <protection locked="0"/>
    </xf>
    <xf numFmtId="0" fontId="28" fillId="3" borderId="18" xfId="3" applyFont="1" applyFill="1" applyBorder="1" applyProtection="1">
      <protection locked="0"/>
    </xf>
    <xf numFmtId="0" fontId="25" fillId="7" borderId="19" xfId="3" applyFont="1" applyFill="1" applyBorder="1" applyAlignment="1" applyProtection="1">
      <alignment horizontal="center"/>
      <protection locked="0"/>
    </xf>
    <xf numFmtId="0" fontId="32" fillId="0" borderId="0" xfId="0" applyFont="1" applyAlignment="1">
      <alignment vertical="center"/>
    </xf>
    <xf numFmtId="0" fontId="31" fillId="7" borderId="19" xfId="3" applyFont="1" applyFill="1" applyBorder="1"/>
    <xf numFmtId="0" fontId="5" fillId="7" borderId="19" xfId="3" applyFont="1" applyFill="1" applyBorder="1" applyAlignment="1">
      <alignment horizontal="left" vertical="center"/>
    </xf>
    <xf numFmtId="0" fontId="13" fillId="6" borderId="11" xfId="3" applyFont="1" applyFill="1" applyBorder="1" applyAlignment="1">
      <alignment horizontal="right"/>
    </xf>
    <xf numFmtId="2" fontId="13" fillId="4" borderId="35" xfId="3" applyNumberFormat="1" applyFont="1" applyFill="1" applyBorder="1" applyAlignment="1">
      <alignment horizontal="center"/>
    </xf>
    <xf numFmtId="0" fontId="33" fillId="6" borderId="19" xfId="3" applyFont="1" applyFill="1" applyBorder="1"/>
    <xf numFmtId="0" fontId="28" fillId="5" borderId="18" xfId="3" applyFont="1" applyFill="1" applyBorder="1"/>
    <xf numFmtId="2" fontId="34" fillId="8" borderId="0" xfId="0" applyNumberFormat="1" applyFont="1" applyFill="1"/>
    <xf numFmtId="0" fontId="14" fillId="0" borderId="0" xfId="0" applyFont="1" applyAlignment="1">
      <alignment horizontal="right" vertical="center"/>
    </xf>
    <xf numFmtId="1" fontId="15" fillId="0" borderId="0" xfId="0" applyNumberFormat="1" applyFont="1" applyAlignment="1" applyProtection="1">
      <alignment horizontal="right" vertical="center"/>
      <protection locked="0"/>
    </xf>
    <xf numFmtId="2" fontId="15" fillId="0" borderId="0" xfId="0" applyNumberFormat="1" applyFont="1" applyAlignment="1" applyProtection="1">
      <alignment horizontal="right" vertical="center"/>
      <protection locked="0"/>
    </xf>
    <xf numFmtId="0" fontId="17" fillId="0" borderId="0" xfId="0" applyFont="1" applyAlignment="1">
      <alignment horizontal="left" vertical="center" indent="1"/>
    </xf>
    <xf numFmtId="11" fontId="0" fillId="0" borderId="0" xfId="0" applyNumberFormat="1" applyAlignment="1">
      <alignment horizontal="right" vertical="center"/>
    </xf>
    <xf numFmtId="173" fontId="0" fillId="0" borderId="0" xfId="0" applyNumberFormat="1" applyAlignment="1">
      <alignment horizontal="right" vertical="center"/>
    </xf>
    <xf numFmtId="0" fontId="31" fillId="7" borderId="19" xfId="3" applyFont="1" applyFill="1" applyBorder="1" applyAlignment="1">
      <alignment horizontal="center" vertical="center"/>
    </xf>
    <xf numFmtId="0" fontId="13" fillId="11" borderId="18" xfId="0" applyFont="1" applyFill="1" applyBorder="1" applyAlignment="1">
      <alignment horizontal="center" vertical="center"/>
    </xf>
    <xf numFmtId="0" fontId="13" fillId="11" borderId="18" xfId="0" applyFont="1" applyFill="1" applyBorder="1" applyAlignment="1">
      <alignment horizontal="center" vertical="center" wrapText="1"/>
    </xf>
    <xf numFmtId="0" fontId="35" fillId="8" borderId="0" xfId="3" applyFont="1" applyFill="1" applyAlignment="1">
      <alignment horizontal="center"/>
    </xf>
    <xf numFmtId="2" fontId="13" fillId="11" borderId="18" xfId="0" applyNumberFormat="1" applyFont="1" applyFill="1" applyBorder="1" applyAlignment="1">
      <alignment horizontal="center" vertical="center"/>
    </xf>
    <xf numFmtId="0" fontId="3" fillId="0" borderId="0" xfId="3" applyFont="1"/>
    <xf numFmtId="0" fontId="2" fillId="7" borderId="19" xfId="3" applyFont="1" applyFill="1" applyBorder="1"/>
    <xf numFmtId="0" fontId="2" fillId="6" borderId="19" xfId="3" applyFont="1" applyFill="1" applyBorder="1"/>
    <xf numFmtId="0" fontId="12" fillId="7" borderId="11" xfId="3" applyFill="1" applyBorder="1"/>
    <xf numFmtId="0" fontId="12" fillId="6" borderId="14" xfId="3" applyFill="1" applyBorder="1" applyAlignment="1">
      <alignment horizontal="center" vertical="center"/>
    </xf>
    <xf numFmtId="0" fontId="12" fillId="6" borderId="32" xfId="3" applyFill="1" applyBorder="1" applyAlignment="1">
      <alignment horizontal="center" vertical="center"/>
    </xf>
    <xf numFmtId="0" fontId="4" fillId="7" borderId="11" xfId="3" applyFont="1" applyFill="1" applyBorder="1" applyAlignment="1">
      <alignment horizontal="center"/>
    </xf>
    <xf numFmtId="0" fontId="36" fillId="7" borderId="0" xfId="3" applyFont="1" applyFill="1" applyAlignment="1">
      <alignment horizontal="center" vertical="center"/>
    </xf>
    <xf numFmtId="0" fontId="4" fillId="6" borderId="11" xfId="3" applyFont="1" applyFill="1" applyBorder="1" applyAlignment="1">
      <alignment horizontal="center"/>
    </xf>
    <xf numFmtId="0" fontId="12" fillId="6" borderId="0" xfId="3" applyFill="1" applyAlignment="1">
      <alignment horizontal="center" vertical="center"/>
    </xf>
    <xf numFmtId="0" fontId="4" fillId="6" borderId="19" xfId="3" applyFont="1" applyFill="1" applyBorder="1" applyAlignment="1">
      <alignment horizontal="center" vertical="center"/>
    </xf>
    <xf numFmtId="0" fontId="4" fillId="7" borderId="19" xfId="3" applyFont="1" applyFill="1" applyBorder="1" applyAlignment="1">
      <alignment horizontal="center" vertical="center"/>
    </xf>
    <xf numFmtId="0" fontId="12" fillId="0" borderId="11" xfId="3" applyBorder="1" applyAlignment="1">
      <alignment horizontal="center"/>
    </xf>
    <xf numFmtId="0" fontId="12" fillId="0" borderId="19" xfId="3" applyBorder="1"/>
    <xf numFmtId="0" fontId="12" fillId="0" borderId="8" xfId="3" applyBorder="1" applyAlignment="1">
      <alignment horizontal="center"/>
    </xf>
    <xf numFmtId="0" fontId="12" fillId="0" borderId="6" xfId="3" applyBorder="1"/>
    <xf numFmtId="0" fontId="12" fillId="0" borderId="35" xfId="3" applyBorder="1"/>
    <xf numFmtId="0" fontId="12" fillId="0" borderId="0" xfId="3" applyAlignment="1">
      <alignment horizontal="center" wrapText="1"/>
    </xf>
    <xf numFmtId="0" fontId="12" fillId="0" borderId="0" xfId="3" applyAlignment="1">
      <alignment wrapText="1"/>
    </xf>
    <xf numFmtId="0" fontId="38" fillId="0" borderId="0" xfId="3" applyFont="1" applyAlignment="1">
      <alignment horizontal="center"/>
    </xf>
    <xf numFmtId="9" fontId="30" fillId="0" borderId="0" xfId="3" applyNumberFormat="1" applyFont="1" applyAlignment="1">
      <alignment horizontal="center"/>
    </xf>
    <xf numFmtId="0" fontId="13" fillId="7" borderId="11" xfId="3" applyFont="1" applyFill="1" applyBorder="1" applyAlignment="1">
      <alignment horizontal="right"/>
    </xf>
    <xf numFmtId="0" fontId="1" fillId="0" borderId="0" xfId="3" applyFont="1"/>
    <xf numFmtId="0" fontId="43" fillId="6" borderId="11" xfId="3" applyFont="1" applyFill="1" applyBorder="1" applyAlignment="1">
      <alignment horizontal="right"/>
    </xf>
    <xf numFmtId="0" fontId="43" fillId="7" borderId="11" xfId="3" applyFont="1" applyFill="1" applyBorder="1" applyAlignment="1">
      <alignment horizontal="right"/>
    </xf>
    <xf numFmtId="0" fontId="0" fillId="0" borderId="0" xfId="0" applyAlignment="1">
      <alignment horizontal="center"/>
    </xf>
    <xf numFmtId="0" fontId="25" fillId="0" borderId="6" xfId="3" applyFont="1" applyBorder="1" applyAlignment="1">
      <alignment horizontal="center"/>
    </xf>
    <xf numFmtId="0" fontId="26" fillId="0" borderId="0" xfId="3" applyFont="1" applyAlignment="1">
      <alignment horizontal="center"/>
    </xf>
    <xf numFmtId="0" fontId="15" fillId="9" borderId="16" xfId="3" applyFont="1" applyFill="1" applyBorder="1" applyAlignment="1">
      <alignment horizontal="center"/>
    </xf>
    <xf numFmtId="0" fontId="15" fillId="9" borderId="21" xfId="3" applyFont="1" applyFill="1" applyBorder="1" applyAlignment="1">
      <alignment horizontal="center"/>
    </xf>
    <xf numFmtId="0" fontId="15" fillId="9" borderId="20" xfId="3" applyFont="1" applyFill="1" applyBorder="1" applyAlignment="1">
      <alignment horizontal="center"/>
    </xf>
    <xf numFmtId="0" fontId="13" fillId="4" borderId="16" xfId="3" applyFont="1" applyFill="1" applyBorder="1" applyAlignment="1">
      <alignment horizontal="center"/>
    </xf>
    <xf numFmtId="0" fontId="15" fillId="4" borderId="21" xfId="3" applyFont="1" applyFill="1" applyBorder="1" applyAlignment="1">
      <alignment horizontal="center"/>
    </xf>
    <xf numFmtId="0" fontId="15" fillId="4" borderId="20" xfId="3" applyFont="1" applyFill="1" applyBorder="1" applyAlignment="1">
      <alignment horizontal="center"/>
    </xf>
    <xf numFmtId="0" fontId="15" fillId="7" borderId="11" xfId="3" applyFont="1" applyFill="1" applyBorder="1" applyAlignment="1">
      <alignment horizontal="center"/>
    </xf>
    <xf numFmtId="0" fontId="15" fillId="7" borderId="0" xfId="3" applyFont="1" applyFill="1" applyAlignment="1">
      <alignment horizontal="center"/>
    </xf>
    <xf numFmtId="0" fontId="30" fillId="9" borderId="16" xfId="3" applyFont="1" applyFill="1" applyBorder="1" applyAlignment="1">
      <alignment horizontal="center" vertical="center"/>
    </xf>
    <xf numFmtId="0" fontId="12" fillId="9" borderId="21" xfId="3" applyFill="1" applyBorder="1" applyAlignment="1">
      <alignment horizontal="center" vertical="center"/>
    </xf>
    <xf numFmtId="0" fontId="12" fillId="9" borderId="20" xfId="3" applyFill="1" applyBorder="1" applyAlignment="1">
      <alignment horizontal="center" vertical="center"/>
    </xf>
    <xf numFmtId="0" fontId="13" fillId="7" borderId="11" xfId="3" applyFont="1" applyFill="1" applyBorder="1" applyAlignment="1">
      <alignment horizontal="center" vertical="center"/>
    </xf>
    <xf numFmtId="0" fontId="25" fillId="7" borderId="0" xfId="3" applyFont="1" applyFill="1" applyAlignment="1">
      <alignment horizontal="center" vertical="center"/>
    </xf>
    <xf numFmtId="0" fontId="41" fillId="10" borderId="1" xfId="3" applyFont="1" applyFill="1" applyBorder="1" applyAlignment="1">
      <alignment horizontal="center" vertical="center" wrapText="1"/>
    </xf>
    <xf numFmtId="0" fontId="37" fillId="10" borderId="2" xfId="3" applyFont="1" applyFill="1" applyBorder="1" applyAlignment="1">
      <alignment horizontal="center" vertical="center" wrapText="1"/>
    </xf>
    <xf numFmtId="0" fontId="37" fillId="10" borderId="4" xfId="3" applyFont="1" applyFill="1" applyBorder="1" applyAlignment="1">
      <alignment horizontal="center" vertical="center" wrapText="1"/>
    </xf>
    <xf numFmtId="0" fontId="42" fillId="10" borderId="1" xfId="3" applyFont="1" applyFill="1" applyBorder="1" applyAlignment="1">
      <alignment horizontal="center" vertical="center"/>
    </xf>
    <xf numFmtId="0" fontId="39" fillId="10" borderId="2" xfId="3" applyFont="1" applyFill="1" applyBorder="1" applyAlignment="1">
      <alignment horizontal="center" vertical="center"/>
    </xf>
    <xf numFmtId="0" fontId="39" fillId="10" borderId="4" xfId="3" applyFont="1" applyFill="1" applyBorder="1" applyAlignment="1">
      <alignment horizontal="center" vertical="center"/>
    </xf>
    <xf numFmtId="0" fontId="12" fillId="0" borderId="37" xfId="3" applyBorder="1" applyAlignment="1">
      <alignment horizontal="center"/>
    </xf>
    <xf numFmtId="0" fontId="12" fillId="0" borderId="36" xfId="3" applyBorder="1" applyAlignment="1">
      <alignment horizontal="center"/>
    </xf>
    <xf numFmtId="0" fontId="12" fillId="0" borderId="38" xfId="3" applyBorder="1" applyAlignment="1">
      <alignment horizontal="center"/>
    </xf>
    <xf numFmtId="0" fontId="15" fillId="4" borderId="16" xfId="3" applyFont="1" applyFill="1" applyBorder="1" applyAlignment="1">
      <alignment horizontal="center"/>
    </xf>
    <xf numFmtId="10" fontId="15" fillId="4" borderId="20" xfId="3" applyNumberFormat="1" applyFont="1" applyFill="1" applyBorder="1" applyAlignment="1">
      <alignment horizontal="center"/>
    </xf>
    <xf numFmtId="0" fontId="23" fillId="5" borderId="33" xfId="3" applyFont="1" applyFill="1" applyBorder="1" applyAlignment="1">
      <alignment horizontal="center"/>
    </xf>
    <xf numFmtId="0" fontId="23" fillId="5" borderId="34" xfId="3" applyFont="1" applyFill="1" applyBorder="1" applyAlignment="1">
      <alignment horizontal="center"/>
    </xf>
    <xf numFmtId="0" fontId="23" fillId="5" borderId="30" xfId="3" applyFont="1" applyFill="1" applyBorder="1" applyAlignment="1">
      <alignment horizontal="center"/>
    </xf>
    <xf numFmtId="0" fontId="23" fillId="4" borderId="16" xfId="3" applyFont="1" applyFill="1" applyBorder="1" applyAlignment="1">
      <alignment horizontal="center"/>
    </xf>
    <xf numFmtId="0" fontId="23" fillId="4" borderId="21" xfId="3" applyFont="1" applyFill="1" applyBorder="1" applyAlignment="1">
      <alignment horizontal="center"/>
    </xf>
    <xf numFmtId="0" fontId="23" fillId="4" borderId="20" xfId="3" applyFont="1" applyFill="1" applyBorder="1" applyAlignment="1">
      <alignment horizontal="center"/>
    </xf>
    <xf numFmtId="0" fontId="38" fillId="10" borderId="1" xfId="3" applyFont="1" applyFill="1" applyBorder="1" applyAlignment="1">
      <alignment horizontal="center"/>
    </xf>
    <xf numFmtId="0" fontId="38" fillId="10" borderId="2" xfId="3" applyFont="1" applyFill="1" applyBorder="1" applyAlignment="1">
      <alignment horizontal="center"/>
    </xf>
    <xf numFmtId="0" fontId="38" fillId="10" borderId="4" xfId="3" applyFont="1" applyFill="1" applyBorder="1" applyAlignment="1">
      <alignment horizontal="center"/>
    </xf>
    <xf numFmtId="0" fontId="12" fillId="10" borderId="1" xfId="3" applyFill="1" applyBorder="1" applyAlignment="1">
      <alignment horizontal="center"/>
    </xf>
    <xf numFmtId="0" fontId="12" fillId="10" borderId="2" xfId="3" applyFill="1" applyBorder="1" applyAlignment="1">
      <alignment horizontal="center"/>
    </xf>
    <xf numFmtId="0" fontId="12" fillId="10" borderId="4" xfId="3" applyFill="1" applyBorder="1" applyAlignment="1">
      <alignment horizontal="center"/>
    </xf>
    <xf numFmtId="174" fontId="19" fillId="0" borderId="0" xfId="0" applyNumberFormat="1" applyFont="1" applyAlignment="1">
      <alignment horizontal="left" vertical="center"/>
    </xf>
    <xf numFmtId="0" fontId="21" fillId="0" borderId="0" xfId="1" applyFill="1" applyBorder="1" applyAlignment="1" applyProtection="1">
      <alignment horizontal="left" vertical="center"/>
    </xf>
  </cellXfs>
  <cellStyles count="5">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E600"/>
      <color rgb="FF0000FF"/>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1409700</xdr:colOff>
      <xdr:row>46</xdr:row>
      <xdr:rowOff>180975</xdr:rowOff>
    </xdr:from>
    <xdr:to>
      <xdr:col>4</xdr:col>
      <xdr:colOff>0</xdr:colOff>
      <xdr:row>53</xdr:row>
      <xdr:rowOff>133350</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14550" y="9639300"/>
          <a:ext cx="3257550" cy="12858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66675</xdr:colOff>
      <xdr:row>18</xdr:row>
      <xdr:rowOff>19050</xdr:rowOff>
    </xdr:from>
    <xdr:to>
      <xdr:col>1</xdr:col>
      <xdr:colOff>1266401</xdr:colOff>
      <xdr:row>19</xdr:row>
      <xdr:rowOff>107526</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7152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Reset</a:t>
          </a:r>
        </a:p>
      </xdr:txBody>
    </xdr:sp>
    <xdr:clientData/>
  </xdr:twoCellAnchor>
  <xdr:twoCellAnchor>
    <xdr:from>
      <xdr:col>1</xdr:col>
      <xdr:colOff>1733550</xdr:colOff>
      <xdr:row>18</xdr:row>
      <xdr:rowOff>19050</xdr:rowOff>
    </xdr:from>
    <xdr:to>
      <xdr:col>3</xdr:col>
      <xdr:colOff>123401</xdr:colOff>
      <xdr:row>19</xdr:row>
      <xdr:rowOff>107526</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2438400" y="4314825"/>
          <a:ext cx="1199726" cy="278976"/>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5</xdr:row>
          <xdr:rowOff>9525</xdr:rowOff>
        </xdr:from>
        <xdr:to>
          <xdr:col>3</xdr:col>
          <xdr:colOff>1428750</xdr:colOff>
          <xdr:row>6</xdr:row>
          <xdr:rowOff>47625</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200025</xdr:rowOff>
        </xdr:from>
        <xdr:to>
          <xdr:col>3</xdr:col>
          <xdr:colOff>1428750</xdr:colOff>
          <xdr:row>8</xdr:row>
          <xdr:rowOff>9525</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1181100</xdr:colOff>
          <xdr:row>12</xdr:row>
          <xdr:rowOff>9525</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9525</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22859</xdr:colOff>
      <xdr:row>4</xdr:row>
      <xdr:rowOff>137160</xdr:rowOff>
    </xdr:from>
    <xdr:to>
      <xdr:col>10</xdr:col>
      <xdr:colOff>289559</xdr:colOff>
      <xdr:row>19</xdr:row>
      <xdr:rowOff>167640</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67399" y="1424940"/>
          <a:ext cx="5196840" cy="313944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rtl="0" eaLnBrk="1" latinLnBrk="0" hangingPunct="1"/>
          <a:r>
            <a:rPr lang="en-US" sz="1100" b="1">
              <a:solidFill>
                <a:schemeClr val="bg1"/>
              </a:solidFill>
              <a:effectLst/>
              <a:latin typeface="+mn-lt"/>
              <a:ea typeface="+mn-ea"/>
              <a:cs typeface="+mn-cs"/>
            </a:rPr>
            <a:t>If the Outlet pressure is </a:t>
          </a:r>
          <a:r>
            <a:rPr lang="en-US" sz="1100" b="1" u="sng">
              <a:solidFill>
                <a:schemeClr val="bg1"/>
              </a:solidFill>
              <a:effectLst/>
              <a:latin typeface="+mn-lt"/>
              <a:ea typeface="+mn-ea"/>
              <a:cs typeface="+mn-cs"/>
            </a:rPr>
            <a:t>unknow</a:t>
          </a:r>
          <a:r>
            <a:rPr lang="en-US" sz="1100" b="1">
              <a:solidFill>
                <a:schemeClr val="bg1"/>
              </a:solidFill>
              <a:effectLst/>
              <a:latin typeface="+mn-lt"/>
              <a:ea typeface="+mn-ea"/>
              <a:cs typeface="+mn-cs"/>
            </a:rPr>
            <a:t>, it is common to utilize the </a:t>
          </a:r>
          <a:r>
            <a:rPr lang="en-US" sz="1100" b="1">
              <a:solidFill>
                <a:schemeClr val="tx2"/>
              </a:solidFill>
              <a:effectLst/>
              <a:latin typeface="+mn-lt"/>
              <a:ea typeface="+mn-ea"/>
              <a:cs typeface="+mn-cs"/>
            </a:rPr>
            <a:t>10/80/42</a:t>
          </a:r>
          <a:r>
            <a:rPr lang="en-US" sz="1100" b="1">
              <a:solidFill>
                <a:schemeClr val="bg1"/>
              </a:solidFill>
              <a:effectLst/>
              <a:latin typeface="+mn-lt"/>
              <a:ea typeface="+mn-ea"/>
              <a:cs typeface="+mn-cs"/>
            </a:rPr>
            <a:t> rule which is:</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10%</a:t>
          </a:r>
          <a:r>
            <a:rPr lang="en-US" sz="1100" b="1">
              <a:solidFill>
                <a:schemeClr val="bg1"/>
              </a:solidFill>
              <a:effectLst/>
              <a:latin typeface="+mn-lt"/>
              <a:ea typeface="+mn-ea"/>
              <a:cs typeface="+mn-cs"/>
            </a:rPr>
            <a:t> of the Inlet pressure for On/Off.</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80%</a:t>
          </a:r>
          <a:r>
            <a:rPr lang="en-US" sz="1100" b="1">
              <a:solidFill>
                <a:schemeClr val="bg1"/>
              </a:solidFill>
              <a:effectLst/>
              <a:latin typeface="+mn-lt"/>
              <a:ea typeface="+mn-ea"/>
              <a:cs typeface="+mn-cs"/>
            </a:rPr>
            <a:t> of the Inlet Pressure for Modulating Low Pressure Steam.</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42%</a:t>
          </a:r>
          <a:r>
            <a:rPr lang="en-US" sz="1100" b="1">
              <a:solidFill>
                <a:schemeClr val="bg1"/>
              </a:solidFill>
              <a:effectLst/>
              <a:latin typeface="+mn-lt"/>
              <a:ea typeface="+mn-ea"/>
              <a:cs typeface="+mn-cs"/>
            </a:rPr>
            <a:t> of the inlet pressure for Modulating Medium to High Pressure Steam</a:t>
          </a:r>
          <a:r>
            <a:rPr lang="en-US" sz="1100" b="1">
              <a:effectLst/>
              <a:latin typeface="+mn-lt"/>
              <a:ea typeface="+mn-ea"/>
              <a:cs typeface="+mn-cs"/>
            </a:rPr>
            <a:t>.</a:t>
          </a:r>
        </a:p>
        <a:p>
          <a:pPr rtl="0" eaLnBrk="1" latinLnBrk="0" hangingPunct="1"/>
          <a:endParaRPr lang="en-US" sz="1100" b="1">
            <a:effectLst/>
            <a:latin typeface="+mn-lt"/>
            <a:ea typeface="+mn-ea"/>
            <a:cs typeface="+mn-cs"/>
          </a:endParaRPr>
        </a:p>
        <a:p>
          <a:pPr algn="ctr" rtl="0" eaLnBrk="1" latinLnBrk="0" hangingPunct="1"/>
          <a:r>
            <a:rPr lang="en-US" sz="1200" b="1">
              <a:effectLst/>
              <a:latin typeface="+mn-lt"/>
              <a:ea typeface="+mn-ea"/>
              <a:cs typeface="+mn-cs"/>
            </a:rPr>
            <a:t>Select </a:t>
          </a:r>
          <a:r>
            <a:rPr lang="en-US" sz="1200" b="1" u="sng">
              <a:effectLst/>
              <a:latin typeface="+mn-lt"/>
              <a:ea typeface="+mn-ea"/>
              <a:cs typeface="+mn-cs"/>
            </a:rPr>
            <a:t>Percentage</a:t>
          </a:r>
          <a:r>
            <a:rPr lang="en-US" sz="1200" b="1">
              <a:effectLst/>
              <a:latin typeface="+mn-lt"/>
              <a:ea typeface="+mn-ea"/>
              <a:cs typeface="+mn-cs"/>
            </a:rPr>
            <a:t> then Enter 80 which = 's 80% for example</a:t>
          </a:r>
        </a:p>
        <a:p>
          <a:pPr algn="ctr" rtl="0" eaLnBrk="1" latinLnBrk="0" hangingPunct="1"/>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0</xdr:colOff>
      <xdr:row>8</xdr:row>
      <xdr:rowOff>28573</xdr:rowOff>
    </xdr:from>
    <xdr:to>
      <xdr:col>9</xdr:col>
      <xdr:colOff>190500</xdr:colOff>
      <xdr:row>17</xdr:row>
      <xdr:rowOff>85724</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38825" y="2190748"/>
          <a:ext cx="4505325" cy="20002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r>
            <a:rPr lang="en-US" sz="1200" b="1" u="sng" baseline="0">
              <a:solidFill>
                <a:schemeClr val="tx2"/>
              </a:solidFill>
              <a:effectLst/>
              <a:latin typeface="+mn-lt"/>
              <a:ea typeface="+mn-ea"/>
              <a:cs typeface="+mn-cs"/>
            </a:rPr>
            <a:t>If this value is Un-Known, Input 0 to calculate a Basic Pressure.</a:t>
          </a: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xdr:twoCellAnchor editAs="oneCell">
    <xdr:from>
      <xdr:col>7</xdr:col>
      <xdr:colOff>438150</xdr:colOff>
      <xdr:row>1</xdr:row>
      <xdr:rowOff>123825</xdr:rowOff>
    </xdr:from>
    <xdr:to>
      <xdr:col>8</xdr:col>
      <xdr:colOff>986603</xdr:colOff>
      <xdr:row>1</xdr:row>
      <xdr:rowOff>453351</xdr:rowOff>
    </xdr:to>
    <xdr:pic>
      <xdr:nvPicPr>
        <xdr:cNvPr id="26" name="Header Picture">
          <a:extLst>
            <a:ext uri="{FF2B5EF4-FFF2-40B4-BE49-F238E27FC236}">
              <a16:creationId xmlns:a16="http://schemas.microsoft.com/office/drawing/2014/main" id="{A2F75857-94E1-9A73-980C-9494C7D95499}"/>
            </a:ext>
          </a:extLst>
        </xdr:cNvPr>
        <xdr:cNvPicPr>
          <a:picLocks noChangeAspect="1"/>
        </xdr:cNvPicPr>
      </xdr:nvPicPr>
      <xdr:blipFill>
        <a:blip xmlns:r="http://schemas.openxmlformats.org/officeDocument/2006/relationships" r:embed="rId2"/>
        <a:stretch>
          <a:fillRect/>
        </a:stretch>
      </xdr:blipFill>
      <xdr:spPr>
        <a:xfrm>
          <a:off x="8001000" y="409575"/>
          <a:ext cx="1495238" cy="314286"/>
        </a:xfrm>
        <a:prstGeom prst="rect">
          <a:avLst/>
        </a:prstGeom>
        <a:scene3d>
          <a:camera prst="orthographicFront"/>
          <a:lightRig rig="threePt" dir="t"/>
        </a:scene3d>
        <a:sp3d contourW="12700"/>
      </xdr:spPr>
    </xdr:pic>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590550</xdr:colOff>
      <xdr:row>18</xdr:row>
      <xdr:rowOff>19050</xdr:rowOff>
    </xdr:from>
    <xdr:to>
      <xdr:col>3</xdr:col>
      <xdr:colOff>1790276</xdr:colOff>
      <xdr:row>19</xdr:row>
      <xdr:rowOff>107526</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10527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Add to Summary</a:t>
          </a:r>
        </a:p>
      </xdr:txBody>
    </xdr:sp>
    <xdr:clientData/>
  </xdr:twoCellAnchor>
  <xdr:twoCellAnchor>
    <xdr:from>
      <xdr:col>6</xdr:col>
      <xdr:colOff>1356360</xdr:colOff>
      <xdr:row>44</xdr:row>
      <xdr:rowOff>22860</xdr:rowOff>
    </xdr:from>
    <xdr:to>
      <xdr:col>7</xdr:col>
      <xdr:colOff>742526</xdr:colOff>
      <xdr:row>45</xdr:row>
      <xdr:rowOff>2751</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7650480" y="8907780"/>
          <a:ext cx="1199726" cy="277071"/>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880110</xdr:colOff>
      <xdr:row>42</xdr:row>
      <xdr:rowOff>41910</xdr:rowOff>
    </xdr:from>
    <xdr:to>
      <xdr:col>8</xdr:col>
      <xdr:colOff>1036811</xdr:colOff>
      <xdr:row>42</xdr:row>
      <xdr:rowOff>179070</xdr:rowOff>
    </xdr:to>
    <xdr:sp macro="[0]!ToggleCvC_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40290" y="853059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89535</xdr:colOff>
      <xdr:row>46</xdr:row>
      <xdr:rowOff>148590</xdr:rowOff>
    </xdr:from>
    <xdr:to>
      <xdr:col>12</xdr:col>
      <xdr:colOff>281940</xdr:colOff>
      <xdr:row>57</xdr:row>
      <xdr:rowOff>127635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5934075" y="9528810"/>
          <a:ext cx="6981825" cy="20745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372724"/>
          <a:ext cx="1343025" cy="876301"/>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504824</xdr:colOff>
      <xdr:row>0</xdr:row>
      <xdr:rowOff>17144</xdr:rowOff>
    </xdr:from>
    <xdr:to>
      <xdr:col>18</xdr:col>
      <xdr:colOff>108585</xdr:colOff>
      <xdr:row>2</xdr:row>
      <xdr:rowOff>70484</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2677774" y="17144"/>
          <a:ext cx="2038351" cy="68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S58"/>
  <sheetViews>
    <sheetView showGridLines="0" showRowColHeaders="0" tabSelected="1" workbookViewId="0">
      <selection activeCell="M11" sqref="M11"/>
    </sheetView>
  </sheetViews>
  <sheetFormatPr defaultColWidth="9.140625" defaultRowHeight="15" x14ac:dyDescent="0.25"/>
  <cols>
    <col min="1" max="1" width="10.5703125" style="87" customWidth="1"/>
    <col min="2" max="2" width="28" style="87" customWidth="1"/>
    <col min="3" max="3" width="14.140625" style="87" customWidth="1"/>
    <col min="4" max="4" width="27.85546875" style="87" customWidth="1"/>
    <col min="5" max="5" width="7" style="87" customWidth="1"/>
    <col min="6" max="6" width="6.7109375" style="87" customWidth="1"/>
    <col min="7" max="7" width="27.140625" style="90" customWidth="1"/>
    <col min="8" max="8" width="14.28515625" style="87" customWidth="1"/>
    <col min="9" max="9" width="16.5703125" style="87" customWidth="1"/>
    <col min="10" max="11" width="9.140625" style="87"/>
    <col min="12" max="12" width="18.7109375" style="87" customWidth="1"/>
    <col min="13" max="13" width="23.5703125" style="87" customWidth="1"/>
    <col min="14" max="14" width="13" style="92" customWidth="1"/>
    <col min="15" max="15" width="13.7109375" style="87" customWidth="1"/>
    <col min="16" max="16" width="25" style="87" customWidth="1"/>
    <col min="17" max="16384" width="9.140625" style="87"/>
  </cols>
  <sheetData>
    <row r="1" spans="2:14" ht="16.899999999999999" customHeight="1" x14ac:dyDescent="0.25"/>
    <row r="2" spans="2:14" ht="53.25" customHeight="1" x14ac:dyDescent="0.25"/>
    <row r="3" spans="2:14" ht="15.75" thickBot="1" x14ac:dyDescent="0.3">
      <c r="B3" s="198"/>
      <c r="C3" s="198"/>
      <c r="D3" s="198"/>
      <c r="H3" s="199"/>
      <c r="I3" s="199"/>
      <c r="J3" s="199"/>
      <c r="K3" s="199"/>
      <c r="L3" s="88"/>
      <c r="M3" s="88"/>
      <c r="N3" s="88"/>
    </row>
    <row r="4" spans="2:14" ht="15.75" thickBot="1" x14ac:dyDescent="0.3">
      <c r="B4" s="208" t="s">
        <v>116</v>
      </c>
      <c r="C4" s="209"/>
      <c r="D4" s="210"/>
    </row>
    <row r="5" spans="2:14" x14ac:dyDescent="0.25">
      <c r="B5" s="139"/>
      <c r="C5" s="140"/>
      <c r="D5" s="115"/>
      <c r="G5" s="135"/>
      <c r="H5" s="135"/>
      <c r="I5" s="135"/>
      <c r="J5" s="135"/>
      <c r="K5" s="135"/>
      <c r="L5" s="135"/>
      <c r="M5" s="135"/>
      <c r="N5" s="135"/>
    </row>
    <row r="6" spans="2:14" x14ac:dyDescent="0.25">
      <c r="B6" s="211" t="s">
        <v>117</v>
      </c>
      <c r="C6" s="212"/>
      <c r="D6" s="152" t="s">
        <v>153</v>
      </c>
    </row>
    <row r="7" spans="2:14" ht="18" customHeight="1" x14ac:dyDescent="0.25">
      <c r="B7" s="137"/>
      <c r="C7" s="136"/>
      <c r="D7" s="138"/>
      <c r="L7" s="172"/>
    </row>
    <row r="8" spans="2:14" x14ac:dyDescent="0.25">
      <c r="B8" s="206" t="s">
        <v>89</v>
      </c>
      <c r="C8" s="207"/>
      <c r="D8" s="138" t="s">
        <v>153</v>
      </c>
    </row>
    <row r="9" spans="2:14" ht="15.75" thickBot="1" x14ac:dyDescent="0.3">
      <c r="B9" s="117"/>
      <c r="C9" s="95"/>
      <c r="D9" s="118"/>
      <c r="G9" s="133"/>
      <c r="H9" s="134"/>
    </row>
    <row r="10" spans="2:14" ht="15.75" thickBot="1" x14ac:dyDescent="0.3">
      <c r="B10" s="208" t="s">
        <v>115</v>
      </c>
      <c r="C10" s="209"/>
      <c r="D10" s="210"/>
      <c r="K10" s="134"/>
    </row>
    <row r="11" spans="2:14" x14ac:dyDescent="0.25">
      <c r="B11" s="119"/>
      <c r="C11" s="120"/>
      <c r="D11" s="121"/>
    </row>
    <row r="12" spans="2:14" ht="18.75" customHeight="1" x14ac:dyDescent="0.25">
      <c r="B12" s="96" t="s">
        <v>22</v>
      </c>
      <c r="C12" s="149">
        <v>0</v>
      </c>
      <c r="D12" s="144" t="s">
        <v>23</v>
      </c>
    </row>
    <row r="13" spans="2:14" ht="18.75" customHeight="1" x14ac:dyDescent="0.25">
      <c r="B13" s="193" t="s">
        <v>140</v>
      </c>
      <c r="C13" s="150">
        <v>0</v>
      </c>
      <c r="D13" s="155" t="s">
        <v>128</v>
      </c>
    </row>
    <row r="14" spans="2:14" ht="18.75" customHeight="1" x14ac:dyDescent="0.25">
      <c r="B14" s="96" t="s">
        <v>91</v>
      </c>
      <c r="C14" s="151">
        <v>0</v>
      </c>
      <c r="D14" s="154" t="s">
        <v>126</v>
      </c>
    </row>
    <row r="15" spans="2:14" ht="18.75" customHeight="1" x14ac:dyDescent="0.25">
      <c r="B15" s="96" t="s">
        <v>24</v>
      </c>
      <c r="C15" s="151">
        <v>14.7</v>
      </c>
      <c r="D15" s="167" t="s">
        <v>87</v>
      </c>
    </row>
    <row r="16" spans="2:14" ht="15.75" thickBot="1" x14ac:dyDescent="0.3">
      <c r="B16" s="96"/>
      <c r="C16" s="122"/>
      <c r="D16" s="110"/>
    </row>
    <row r="17" spans="1:19" ht="15.75" thickBot="1" x14ac:dyDescent="0.3">
      <c r="B17" s="200"/>
      <c r="C17" s="201"/>
      <c r="D17" s="202"/>
    </row>
    <row r="18" spans="1:19" x14ac:dyDescent="0.25">
      <c r="B18" s="141"/>
      <c r="C18" s="141"/>
      <c r="D18" s="141"/>
    </row>
    <row r="19" spans="1:19" x14ac:dyDescent="0.25">
      <c r="B19" s="141"/>
      <c r="C19" s="141"/>
      <c r="D19" s="170">
        <v>16.7</v>
      </c>
      <c r="K19" s="148" t="s">
        <v>125</v>
      </c>
      <c r="S19" t="s">
        <v>93</v>
      </c>
    </row>
    <row r="20" spans="1:19" x14ac:dyDescent="0.25">
      <c r="B20" s="141"/>
      <c r="C20" s="141"/>
      <c r="D20" s="170">
        <v>25.954820257724354</v>
      </c>
      <c r="S20" t="s">
        <v>94</v>
      </c>
    </row>
    <row r="21" spans="1:19" ht="15.75" thickBot="1" x14ac:dyDescent="0.3">
      <c r="S21" t="s">
        <v>95</v>
      </c>
    </row>
    <row r="22" spans="1:19" ht="15.75" thickBot="1" x14ac:dyDescent="0.3">
      <c r="B22" s="203" t="s">
        <v>118</v>
      </c>
      <c r="C22" s="204"/>
      <c r="D22" s="205"/>
      <c r="G22" s="203" t="s">
        <v>119</v>
      </c>
      <c r="H22" s="204"/>
      <c r="I22" s="205"/>
      <c r="S22" t="s">
        <v>96</v>
      </c>
    </row>
    <row r="23" spans="1:19" x14ac:dyDescent="0.25">
      <c r="B23" s="116"/>
      <c r="C23" s="123"/>
      <c r="D23" s="124"/>
      <c r="G23" s="116"/>
      <c r="H23" s="123"/>
      <c r="I23" s="124"/>
      <c r="S23" s="65"/>
    </row>
    <row r="24" spans="1:19" x14ac:dyDescent="0.25">
      <c r="B24" s="112" t="s">
        <v>143</v>
      </c>
      <c r="C24" s="146">
        <v>0</v>
      </c>
      <c r="D24" s="94" t="s">
        <v>25</v>
      </c>
      <c r="G24" s="112" t="s">
        <v>120</v>
      </c>
      <c r="H24" s="146">
        <v>0</v>
      </c>
      <c r="I24" s="94" t="s">
        <v>25</v>
      </c>
      <c r="N24" s="192" t="s">
        <v>139</v>
      </c>
      <c r="S24" s="131" t="s">
        <v>97</v>
      </c>
    </row>
    <row r="25" spans="1:19" x14ac:dyDescent="0.25">
      <c r="B25" s="98" t="s">
        <v>144</v>
      </c>
      <c r="C25" s="147">
        <v>0</v>
      </c>
      <c r="D25" s="173" t="s">
        <v>25</v>
      </c>
      <c r="G25" s="98" t="s">
        <v>121</v>
      </c>
      <c r="H25" s="147">
        <v>0</v>
      </c>
      <c r="I25" s="97" t="s">
        <v>26</v>
      </c>
      <c r="J25"/>
      <c r="N25" s="160">
        <v>10000</v>
      </c>
      <c r="S25" s="65" t="s">
        <v>98</v>
      </c>
    </row>
    <row r="26" spans="1:19" x14ac:dyDescent="0.25">
      <c r="B26" s="195" t="s">
        <v>145</v>
      </c>
      <c r="C26" s="146">
        <v>0</v>
      </c>
      <c r="D26" s="174" t="s">
        <v>25</v>
      </c>
      <c r="G26" s="143" t="s">
        <v>92</v>
      </c>
      <c r="H26" s="146">
        <v>0</v>
      </c>
      <c r="I26" s="94" t="s">
        <v>26</v>
      </c>
      <c r="S26" s="65" t="s">
        <v>99</v>
      </c>
    </row>
    <row r="27" spans="1:19" ht="15.75" thickBot="1" x14ac:dyDescent="0.3">
      <c r="B27" s="196" t="s">
        <v>146</v>
      </c>
      <c r="C27" s="147">
        <v>0</v>
      </c>
      <c r="D27" s="97" t="s">
        <v>26</v>
      </c>
      <c r="G27" s="142" t="s">
        <v>122</v>
      </c>
      <c r="H27" s="147">
        <v>0</v>
      </c>
      <c r="I27" s="97" t="s">
        <v>26</v>
      </c>
      <c r="N27" s="102"/>
      <c r="S27" s="65" t="s">
        <v>100</v>
      </c>
    </row>
    <row r="28" spans="1:19" ht="15.75" thickBot="1" x14ac:dyDescent="0.3">
      <c r="B28" s="93" t="s">
        <v>124</v>
      </c>
      <c r="C28" s="145">
        <v>0</v>
      </c>
      <c r="D28" s="158" t="s">
        <v>130</v>
      </c>
      <c r="G28" s="93" t="s">
        <v>123</v>
      </c>
      <c r="H28" s="145">
        <v>0</v>
      </c>
      <c r="I28" s="94"/>
      <c r="S28" s="65"/>
    </row>
    <row r="29" spans="1:19" ht="15.75" thickBot="1" x14ac:dyDescent="0.3">
      <c r="B29" s="99"/>
      <c r="C29" s="100"/>
      <c r="D29" s="97"/>
      <c r="G29" s="99"/>
      <c r="H29" s="100"/>
      <c r="I29" s="97"/>
      <c r="S29" s="131" t="s">
        <v>101</v>
      </c>
    </row>
    <row r="30" spans="1:19" ht="15.75" thickBot="1" x14ac:dyDescent="0.3">
      <c r="B30" s="222"/>
      <c r="C30" s="204"/>
      <c r="D30" s="223"/>
      <c r="G30" s="222"/>
      <c r="H30" s="204"/>
      <c r="I30" s="205"/>
      <c r="S30" s="65" t="s">
        <v>102</v>
      </c>
    </row>
    <row r="31" spans="1:19" x14ac:dyDescent="0.25">
      <c r="A31" s="91"/>
      <c r="S31" s="65" t="s">
        <v>103</v>
      </c>
    </row>
    <row r="32" spans="1:19" x14ac:dyDescent="0.25">
      <c r="B32" s="230" t="s">
        <v>130</v>
      </c>
      <c r="C32" s="231"/>
      <c r="D32" s="232"/>
      <c r="G32" s="233" t="s">
        <v>130</v>
      </c>
      <c r="H32" s="234"/>
      <c r="I32" s="235"/>
      <c r="S32" s="65"/>
    </row>
    <row r="33" spans="2:19" x14ac:dyDescent="0.25">
      <c r="B33" s="191"/>
      <c r="C33" s="191"/>
      <c r="D33" s="191"/>
      <c r="H33" s="90"/>
      <c r="I33" s="90"/>
      <c r="S33" s="65"/>
    </row>
    <row r="34" spans="2:19" ht="45" customHeight="1" x14ac:dyDescent="0.25">
      <c r="B34" s="216" t="s">
        <v>130</v>
      </c>
      <c r="C34" s="217"/>
      <c r="D34" s="218"/>
      <c r="G34" s="213" t="s">
        <v>130</v>
      </c>
      <c r="H34" s="214"/>
      <c r="I34" s="215"/>
      <c r="S34" s="65"/>
    </row>
    <row r="35" spans="2:19" ht="15.75" thickBot="1" x14ac:dyDescent="0.3">
      <c r="G35" s="189"/>
      <c r="H35" s="190"/>
      <c r="I35" s="190"/>
    </row>
    <row r="36" spans="2:19" ht="15.75" thickBot="1" x14ac:dyDescent="0.3">
      <c r="B36" s="227" t="s">
        <v>90</v>
      </c>
      <c r="C36" s="228"/>
      <c r="D36" s="229"/>
      <c r="G36" s="224" t="s">
        <v>29</v>
      </c>
      <c r="H36" s="225"/>
      <c r="I36" s="226"/>
    </row>
    <row r="37" spans="2:19" ht="15.75" thickBot="1" x14ac:dyDescent="0.3">
      <c r="B37" s="126"/>
      <c r="C37" s="157" t="s">
        <v>141</v>
      </c>
      <c r="D37" s="127" t="s">
        <v>142</v>
      </c>
      <c r="G37" s="175" t="s">
        <v>27</v>
      </c>
      <c r="H37" s="159">
        <v>0</v>
      </c>
      <c r="I37" s="97"/>
    </row>
    <row r="38" spans="2:19" x14ac:dyDescent="0.25">
      <c r="B38" s="99"/>
      <c r="C38" s="125"/>
      <c r="D38" s="101"/>
      <c r="G38" s="176" t="s">
        <v>28</v>
      </c>
      <c r="H38" s="129">
        <v>0</v>
      </c>
      <c r="I38" s="177"/>
      <c r="S38" s="132" t="s">
        <v>104</v>
      </c>
    </row>
    <row r="39" spans="2:19" x14ac:dyDescent="0.25">
      <c r="B39" s="156" t="s">
        <v>129</v>
      </c>
      <c r="C39" s="113">
        <v>0</v>
      </c>
      <c r="D39" s="113">
        <v>0</v>
      </c>
      <c r="G39" s="178" t="s">
        <v>135</v>
      </c>
      <c r="H39" s="179">
        <v>0</v>
      </c>
      <c r="I39" s="121"/>
      <c r="S39" s="132" t="s">
        <v>105</v>
      </c>
    </row>
    <row r="40" spans="2:19" x14ac:dyDescent="0.25">
      <c r="B40" s="99"/>
      <c r="C40" s="97"/>
      <c r="D40" s="114"/>
      <c r="G40" s="180" t="s">
        <v>14</v>
      </c>
      <c r="H40" s="181">
        <v>0</v>
      </c>
      <c r="I40" s="182" t="s">
        <v>136</v>
      </c>
    </row>
    <row r="41" spans="2:19" x14ac:dyDescent="0.25">
      <c r="B41" s="156" t="str">
        <f>IF(D12="-Select-", "", D12 &amp; " 1/3rd - 2/3rd:")</f>
        <v>LB/HR 1/3rd - 2/3rd:</v>
      </c>
      <c r="C41" s="113">
        <v>0</v>
      </c>
      <c r="D41" s="113">
        <v>0</v>
      </c>
      <c r="G41" s="178" t="s">
        <v>130</v>
      </c>
      <c r="H41" s="120">
        <v>0</v>
      </c>
      <c r="I41" s="183" t="s">
        <v>137</v>
      </c>
    </row>
    <row r="42" spans="2:19" ht="16.5" thickBot="1" x14ac:dyDescent="0.3">
      <c r="B42" s="128"/>
      <c r="C42" s="111"/>
      <c r="D42" s="111"/>
      <c r="G42" s="180" t="s">
        <v>134</v>
      </c>
      <c r="H42" s="181">
        <v>0</v>
      </c>
      <c r="I42" s="182" t="s">
        <v>137</v>
      </c>
    </row>
    <row r="43" spans="2:19" ht="15.75" thickBot="1" x14ac:dyDescent="0.3">
      <c r="C43" s="89"/>
      <c r="D43" s="90"/>
      <c r="G43" s="219" t="s">
        <v>130</v>
      </c>
      <c r="H43" s="220"/>
      <c r="I43" s="221"/>
    </row>
    <row r="44" spans="2:19" ht="15.75" thickTop="1" x14ac:dyDescent="0.25">
      <c r="G44" s="184"/>
      <c r="I44" s="185"/>
    </row>
    <row r="45" spans="2:19" ht="23.25" customHeight="1" x14ac:dyDescent="0.25">
      <c r="G45" s="184"/>
      <c r="I45" s="185"/>
    </row>
    <row r="46" spans="2:19" ht="15.75" thickBot="1" x14ac:dyDescent="0.3">
      <c r="G46" s="186"/>
      <c r="H46" s="187"/>
      <c r="I46" s="188"/>
    </row>
    <row r="51" spans="2:2" x14ac:dyDescent="0.25">
      <c r="B51" s="194"/>
    </row>
    <row r="58" spans="2:2" x14ac:dyDescent="0.25">
      <c r="B58"/>
    </row>
  </sheetData>
  <sheetProtection selectLockedCells="1"/>
  <mergeCells count="18">
    <mergeCell ref="G34:I34"/>
    <mergeCell ref="B34:D34"/>
    <mergeCell ref="G43:I43"/>
    <mergeCell ref="B30:D30"/>
    <mergeCell ref="G36:I36"/>
    <mergeCell ref="B36:D36"/>
    <mergeCell ref="G30:I30"/>
    <mergeCell ref="B32:D32"/>
    <mergeCell ref="G32:I32"/>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f_AP">
          <controlPr locked="0" defaultSize="0" autoLine="0" linkedCell="D15" listFillRange="BarometricPressure!C2:C52" r:id="rId5">
            <anchor moveWithCells="1">
              <from>
                <xdr:col>3</xdr:col>
                <xdr:colOff>76200</xdr:colOff>
                <xdr:row>14</xdr:row>
                <xdr:rowOff>19050</xdr:rowOff>
              </from>
              <to>
                <xdr:col>3</xdr:col>
                <xdr:colOff>1171575</xdr:colOff>
                <xdr:row>15</xdr:row>
                <xdr:rowOff>0</xdr:rowOff>
              </to>
            </anchor>
          </controlPr>
        </control>
      </mc:Choice>
      <mc:Fallback>
        <control shapeId="1031" r:id="rId4" name="f_AP"/>
      </mc:Fallback>
    </mc:AlternateContent>
    <mc:AlternateContent xmlns:mc="http://schemas.openxmlformats.org/markup-compatibility/2006">
      <mc:Choice Requires="x14">
        <control shapeId="1030" r:id="rId6" name="f_FlowRate">
          <controlPr locked="0" defaultSize="0" autoLine="0" linkedCell="D12" listFillRange="Config!O2:O5" r:id="rId7">
            <anchor moveWithCells="1">
              <from>
                <xdr:col>3</xdr:col>
                <xdr:colOff>85725</xdr:colOff>
                <xdr:row>11</xdr:row>
                <xdr:rowOff>19050</xdr:rowOff>
              </from>
              <to>
                <xdr:col>3</xdr:col>
                <xdr:colOff>1181100</xdr:colOff>
                <xdr:row>12</xdr:row>
                <xdr:rowOff>0</xdr:rowOff>
              </to>
            </anchor>
          </controlPr>
        </control>
      </mc:Choice>
      <mc:Fallback>
        <control shapeId="1030" r:id="rId6" name="f_FlowRate"/>
      </mc:Fallback>
    </mc:AlternateContent>
    <mc:AlternateContent xmlns:mc="http://schemas.openxmlformats.org/markup-compatibility/2006">
      <mc:Choice Requires="x14">
        <control shapeId="1029" r:id="rId8" name="f_CTRL">
          <controlPr locked="0" defaultSize="0" autoLine="0" autoPict="0" linkedCell="D8" listFillRange="Config!N2:N3" r:id="rId9">
            <anchor moveWithCells="1">
              <from>
                <xdr:col>3</xdr:col>
                <xdr:colOff>57150</xdr:colOff>
                <xdr:row>6</xdr:row>
                <xdr:rowOff>200025</xdr:rowOff>
              </from>
              <to>
                <xdr:col>3</xdr:col>
                <xdr:colOff>1428750</xdr:colOff>
                <xdr:row>8</xdr:row>
                <xdr:rowOff>9525</xdr:rowOff>
              </to>
            </anchor>
          </controlPr>
        </control>
      </mc:Choice>
      <mc:Fallback>
        <control shapeId="1029" r:id="rId8" name="f_CTRL"/>
      </mc:Fallback>
    </mc:AlternateContent>
    <mc:AlternateContent xmlns:mc="http://schemas.openxmlformats.org/markup-compatibility/2006">
      <mc:Choice Requires="x14">
        <control shapeId="1027" r:id="rId10" name="f_Application">
          <controlPr locked="0" defaultSize="0" autoLine="0" linkedCell="D6" listFillRange="Config!M2:M5" r:id="rId11">
            <anchor moveWithCells="1">
              <from>
                <xdr:col>3</xdr:col>
                <xdr:colOff>57150</xdr:colOff>
                <xdr:row>5</xdr:row>
                <xdr:rowOff>9525</xdr:rowOff>
              </from>
              <to>
                <xdr:col>3</xdr:col>
                <xdr:colOff>1428750</xdr:colOff>
                <xdr:row>6</xdr:row>
                <xdr:rowOff>47625</xdr:rowOff>
              </to>
            </anchor>
          </controlPr>
        </control>
      </mc:Choice>
      <mc:Fallback>
        <control shapeId="1027" r:id="rId10" name="f_Application"/>
      </mc:Fallback>
    </mc:AlternateContent>
    <mc:AlternateContent xmlns:mc="http://schemas.openxmlformats.org/markup-compatibility/2006">
      <mc:Choice Requires="x14">
        <control shapeId="1032" r:id="rId12" name="f_PSI">
          <controlPr locked="0" defaultSize="0" autoLine="0" linkedCell="D14" listFillRange="Config!P2:P4" r:id="rId13">
            <anchor moveWithCells="1">
              <from>
                <xdr:col>3</xdr:col>
                <xdr:colOff>85725</xdr:colOff>
                <xdr:row>13</xdr:row>
                <xdr:rowOff>0</xdr:rowOff>
              </from>
              <to>
                <xdr:col>3</xdr:col>
                <xdr:colOff>1181100</xdr:colOff>
                <xdr:row>13</xdr:row>
                <xdr:rowOff>219075</xdr:rowOff>
              </to>
            </anchor>
          </controlPr>
        </control>
      </mc:Choice>
      <mc:Fallback>
        <control shapeId="1032" r:id="rId12" name="f_PS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5"/>
  </sheetPr>
  <dimension ref="A1:Q12"/>
  <sheetViews>
    <sheetView workbookViewId="0">
      <selection activeCell="J2" sqref="J2"/>
    </sheetView>
  </sheetViews>
  <sheetFormatPr defaultRowHeight="12.75" x14ac:dyDescent="0.2"/>
  <cols>
    <col min="1" max="1" width="17.42578125" style="69" customWidth="1"/>
    <col min="2" max="2" width="28" style="69" customWidth="1"/>
    <col min="3" max="3" width="12.140625" style="69" customWidth="1"/>
    <col min="4" max="4" width="11.140625" style="69" customWidth="1"/>
    <col min="5" max="5" width="9.140625" style="69"/>
    <col min="6" max="6" width="10.7109375" style="69" customWidth="1"/>
    <col min="7" max="7" width="12" style="69" customWidth="1"/>
    <col min="8" max="8" width="10.28515625" style="69" customWidth="1"/>
    <col min="9" max="9" width="13.42578125" style="69" customWidth="1"/>
    <col min="10" max="10" width="13.7109375" style="69" customWidth="1"/>
    <col min="11" max="11" width="13.28515625" style="69" customWidth="1"/>
    <col min="12" max="12" width="24.42578125" style="69" customWidth="1"/>
    <col min="13" max="13" width="11" style="106" customWidth="1"/>
  </cols>
  <sheetData>
    <row r="1" spans="1:17" s="69" customFormat="1" ht="37.5" customHeight="1" x14ac:dyDescent="0.2">
      <c r="A1" s="168" t="s">
        <v>132</v>
      </c>
      <c r="B1" s="168" t="s">
        <v>108</v>
      </c>
      <c r="C1" s="168" t="s">
        <v>109</v>
      </c>
      <c r="D1" s="169" t="s">
        <v>148</v>
      </c>
      <c r="E1" s="168" t="s">
        <v>133</v>
      </c>
      <c r="F1" s="169" t="s">
        <v>149</v>
      </c>
      <c r="G1" s="168" t="s">
        <v>133</v>
      </c>
      <c r="H1" s="169" t="s">
        <v>150</v>
      </c>
      <c r="I1" s="168" t="s">
        <v>133</v>
      </c>
      <c r="J1" s="169" t="s">
        <v>152</v>
      </c>
      <c r="K1" s="169" t="s">
        <v>151</v>
      </c>
      <c r="L1" s="168" t="s">
        <v>32</v>
      </c>
      <c r="M1" s="171" t="s">
        <v>131</v>
      </c>
      <c r="N1" s="171" t="s">
        <v>147</v>
      </c>
      <c r="Q1" s="69">
        <v>0</v>
      </c>
    </row>
    <row r="2" spans="1:17" x14ac:dyDescent="0.2">
      <c r="A2" s="197"/>
      <c r="B2" s="197"/>
      <c r="C2" s="197"/>
      <c r="D2" s="197"/>
      <c r="E2" s="197"/>
      <c r="F2" s="197"/>
      <c r="G2"/>
      <c r="H2"/>
      <c r="I2"/>
      <c r="J2"/>
      <c r="K2"/>
      <c r="L2"/>
      <c r="M2"/>
      <c r="Q2">
        <v>0</v>
      </c>
    </row>
    <row r="3" spans="1:17" x14ac:dyDescent="0.2">
      <c r="A3" s="197"/>
      <c r="B3" s="197"/>
      <c r="C3" s="197"/>
      <c r="D3" s="197"/>
      <c r="E3" s="197"/>
      <c r="F3" s="197"/>
      <c r="G3"/>
      <c r="H3"/>
      <c r="I3"/>
      <c r="J3"/>
      <c r="K3"/>
      <c r="L3"/>
      <c r="M3"/>
    </row>
    <row r="4" spans="1:17" x14ac:dyDescent="0.2">
      <c r="A4" s="197"/>
      <c r="B4" s="197"/>
      <c r="C4" s="197"/>
      <c r="D4" s="197"/>
      <c r="E4" s="197"/>
      <c r="F4" s="197"/>
      <c r="G4"/>
      <c r="H4"/>
      <c r="I4"/>
      <c r="J4"/>
      <c r="K4"/>
      <c r="L4"/>
      <c r="M4"/>
    </row>
    <row r="5" spans="1:17" ht="12.75" customHeight="1" x14ac:dyDescent="0.2">
      <c r="A5" s="197"/>
      <c r="B5" s="197"/>
      <c r="C5" s="197"/>
      <c r="D5" s="197"/>
      <c r="E5" s="197"/>
      <c r="F5" s="197"/>
      <c r="G5"/>
      <c r="H5"/>
      <c r="I5"/>
      <c r="J5"/>
      <c r="K5"/>
      <c r="L5"/>
      <c r="M5"/>
    </row>
    <row r="6" spans="1:17" x14ac:dyDescent="0.2">
      <c r="A6" s="197"/>
      <c r="B6" s="197"/>
      <c r="C6" s="197"/>
      <c r="D6" s="197"/>
      <c r="E6" s="197"/>
      <c r="F6" s="197"/>
      <c r="G6"/>
      <c r="H6"/>
      <c r="I6"/>
      <c r="J6"/>
      <c r="K6"/>
      <c r="L6"/>
      <c r="M6"/>
    </row>
    <row r="7" spans="1:17" x14ac:dyDescent="0.2">
      <c r="A7" s="197"/>
      <c r="B7" s="197"/>
      <c r="C7" s="197"/>
      <c r="D7" s="197"/>
      <c r="E7" s="197"/>
      <c r="F7" s="197"/>
      <c r="G7"/>
      <c r="H7"/>
      <c r="I7"/>
      <c r="J7"/>
      <c r="K7"/>
      <c r="L7"/>
      <c r="M7"/>
    </row>
    <row r="8" spans="1:17" x14ac:dyDescent="0.2">
      <c r="A8" s="197"/>
      <c r="B8" s="197"/>
      <c r="C8" s="197"/>
      <c r="D8" s="197"/>
      <c r="E8" s="197"/>
      <c r="F8" s="197"/>
      <c r="G8"/>
      <c r="H8"/>
      <c r="I8"/>
      <c r="J8"/>
      <c r="K8"/>
      <c r="L8"/>
      <c r="M8"/>
    </row>
    <row r="9" spans="1:17" x14ac:dyDescent="0.2">
      <c r="A9" s="197"/>
      <c r="B9" s="197"/>
      <c r="C9" s="197"/>
      <c r="D9" s="197"/>
      <c r="E9" s="197"/>
      <c r="F9" s="197"/>
      <c r="G9"/>
      <c r="H9"/>
      <c r="I9"/>
      <c r="J9"/>
      <c r="K9"/>
      <c r="L9"/>
      <c r="M9"/>
    </row>
    <row r="10" spans="1:17" x14ac:dyDescent="0.2">
      <c r="A10" s="197"/>
      <c r="B10" s="197"/>
      <c r="C10" s="197"/>
      <c r="D10" s="197"/>
      <c r="E10" s="197"/>
      <c r="F10" s="197"/>
      <c r="G10"/>
      <c r="H10"/>
      <c r="I10"/>
      <c r="J10"/>
      <c r="K10"/>
      <c r="L10"/>
      <c r="M10"/>
    </row>
    <row r="11" spans="1:17" x14ac:dyDescent="0.2">
      <c r="A11" s="197"/>
      <c r="B11" s="197"/>
      <c r="C11" s="197"/>
      <c r="D11" s="197"/>
      <c r="E11" s="197"/>
      <c r="F11" s="197"/>
      <c r="G11"/>
      <c r="H11"/>
      <c r="I11"/>
      <c r="J11"/>
      <c r="K11"/>
      <c r="L11"/>
      <c r="M11"/>
    </row>
    <row r="12" spans="1:17" ht="12.75" customHeight="1" x14ac:dyDescent="0.2">
      <c r="A12" s="197"/>
      <c r="B12" s="197"/>
      <c r="C12" s="197"/>
      <c r="D12" s="197"/>
      <c r="E12" s="197"/>
      <c r="F12" s="197"/>
      <c r="G12"/>
      <c r="H12"/>
      <c r="I12"/>
      <c r="J12"/>
      <c r="K12"/>
      <c r="L12"/>
      <c r="M12"/>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P34"/>
  <sheetViews>
    <sheetView workbookViewId="0">
      <selection activeCell="P13" sqref="P13"/>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6384" width="9.140625" style="1"/>
  </cols>
  <sheetData>
    <row r="1" spans="1:16" x14ac:dyDescent="0.2">
      <c r="B1" s="61"/>
      <c r="C1" s="59"/>
      <c r="D1" s="61"/>
      <c r="E1" s="61"/>
      <c r="F1" s="61"/>
      <c r="G1" s="61"/>
      <c r="H1" s="61"/>
      <c r="I1" s="61"/>
      <c r="J1" s="61"/>
      <c r="K1" s="61"/>
      <c r="L1" s="61"/>
      <c r="M1" s="153" t="s">
        <v>108</v>
      </c>
      <c r="N1" s="153" t="s">
        <v>109</v>
      </c>
      <c r="O1" s="153" t="s">
        <v>110</v>
      </c>
      <c r="P1" s="153" t="s">
        <v>0</v>
      </c>
    </row>
    <row r="2" spans="1:16" x14ac:dyDescent="0.2">
      <c r="A2" s="55"/>
      <c r="B2" s="55"/>
      <c r="C2" s="56"/>
      <c r="D2" s="55"/>
      <c r="E2" s="63"/>
      <c r="F2" s="57"/>
      <c r="G2" s="63"/>
      <c r="H2" s="63"/>
      <c r="I2" s="63"/>
      <c r="J2" s="63"/>
      <c r="K2" s="63"/>
      <c r="L2" s="63"/>
      <c r="M2" s="58" t="s">
        <v>114</v>
      </c>
      <c r="N2" s="58" t="s">
        <v>30</v>
      </c>
      <c r="O2" s="58" t="s">
        <v>107</v>
      </c>
      <c r="P2" s="58" t="s">
        <v>126</v>
      </c>
    </row>
    <row r="3" spans="1:16" x14ac:dyDescent="0.2">
      <c r="B3" s="57"/>
      <c r="C3" s="56"/>
      <c r="D3" s="63"/>
      <c r="F3" s="62"/>
      <c r="G3" s="61"/>
      <c r="H3" s="61"/>
      <c r="I3" s="61"/>
      <c r="J3" s="61"/>
      <c r="K3" s="61"/>
      <c r="L3" s="61"/>
      <c r="M3" s="58" t="s">
        <v>112</v>
      </c>
      <c r="N3" s="58" t="s">
        <v>21</v>
      </c>
      <c r="O3" s="58" t="s">
        <v>106</v>
      </c>
      <c r="P3" s="58" t="s">
        <v>127</v>
      </c>
    </row>
    <row r="4" spans="1:16" x14ac:dyDescent="0.2">
      <c r="B4" s="61"/>
      <c r="C4" s="59"/>
      <c r="D4" s="61"/>
      <c r="F4" s="161"/>
      <c r="G4" s="61"/>
      <c r="H4" s="61"/>
      <c r="I4" s="61"/>
      <c r="J4" s="61"/>
      <c r="K4" s="61"/>
      <c r="L4" s="61"/>
      <c r="M4" s="58" t="s">
        <v>111</v>
      </c>
      <c r="N4" s="58"/>
      <c r="O4" s="58" t="s">
        <v>23</v>
      </c>
      <c r="P4" s="1" t="s">
        <v>138</v>
      </c>
    </row>
    <row r="5" spans="1:16" x14ac:dyDescent="0.2">
      <c r="B5" s="162"/>
      <c r="C5" s="59"/>
      <c r="D5" s="61"/>
      <c r="F5" s="61"/>
      <c r="G5" s="61"/>
      <c r="H5" s="61"/>
      <c r="I5" s="61"/>
      <c r="J5" s="61"/>
      <c r="K5" s="61"/>
      <c r="L5" s="61"/>
      <c r="M5" s="58" t="s">
        <v>113</v>
      </c>
      <c r="O5" s="58" t="s">
        <v>31</v>
      </c>
    </row>
    <row r="6" spans="1:16" x14ac:dyDescent="0.2">
      <c r="B6" s="163"/>
      <c r="C6" s="60"/>
      <c r="D6" s="61"/>
      <c r="F6" s="61"/>
      <c r="G6" s="61"/>
      <c r="H6" s="61"/>
      <c r="I6" s="61"/>
      <c r="J6" s="61"/>
      <c r="K6" s="61"/>
      <c r="L6" s="61"/>
    </row>
    <row r="7" spans="1:16" x14ac:dyDescent="0.2">
      <c r="B7" s="64"/>
      <c r="C7" s="60"/>
      <c r="F7" s="62"/>
      <c r="G7" s="61"/>
      <c r="H7" s="61"/>
      <c r="I7" s="61"/>
      <c r="J7" s="61"/>
      <c r="K7" s="61"/>
      <c r="L7" s="61"/>
    </row>
    <row r="8" spans="1:16" x14ac:dyDescent="0.2">
      <c r="B8" s="67"/>
      <c r="C8" s="59"/>
      <c r="F8" s="62"/>
      <c r="G8" s="61"/>
      <c r="H8" s="61"/>
      <c r="I8" s="61"/>
      <c r="J8" s="61"/>
      <c r="K8" s="61"/>
      <c r="L8" s="61"/>
    </row>
    <row r="9" spans="1:16" x14ac:dyDescent="0.2">
      <c r="B9" s="61"/>
      <c r="C9" s="59"/>
      <c r="F9" s="62"/>
      <c r="G9" s="61"/>
      <c r="H9" s="61"/>
      <c r="I9" s="61"/>
      <c r="J9" s="61"/>
      <c r="K9" s="61"/>
      <c r="L9" s="61"/>
    </row>
    <row r="10" spans="1:16" x14ac:dyDescent="0.2">
      <c r="B10" s="163"/>
      <c r="C10" s="60"/>
      <c r="F10" s="62"/>
      <c r="G10" s="61"/>
      <c r="H10" s="61"/>
      <c r="I10" s="61"/>
      <c r="J10" s="61"/>
      <c r="K10" s="61"/>
      <c r="L10" s="61"/>
    </row>
    <row r="11" spans="1:16" x14ac:dyDescent="0.2">
      <c r="B11" s="64"/>
      <c r="C11" s="60"/>
      <c r="F11" s="62"/>
      <c r="G11" s="61"/>
      <c r="H11" s="61"/>
      <c r="I11" s="61"/>
      <c r="J11" s="61"/>
      <c r="K11" s="61"/>
      <c r="L11" s="61"/>
    </row>
    <row r="12" spans="1:16" x14ac:dyDescent="0.2">
      <c r="B12" s="67"/>
      <c r="C12" s="59"/>
      <c r="D12" s="61"/>
      <c r="E12" s="61"/>
      <c r="F12" s="61"/>
      <c r="G12" s="61"/>
      <c r="H12" s="61"/>
      <c r="I12" s="61"/>
      <c r="J12" s="61"/>
      <c r="K12" s="61"/>
      <c r="L12" s="61"/>
    </row>
    <row r="13" spans="1:16" x14ac:dyDescent="0.2">
      <c r="B13" s="67"/>
      <c r="C13" s="59"/>
      <c r="D13" s="61"/>
      <c r="E13" s="61"/>
      <c r="F13" s="61"/>
      <c r="G13" s="61"/>
      <c r="H13" s="61"/>
      <c r="I13" s="61"/>
      <c r="J13" s="61"/>
      <c r="K13" s="61"/>
      <c r="L13" s="61"/>
    </row>
    <row r="14" spans="1:16" x14ac:dyDescent="0.2">
      <c r="B14" s="68"/>
      <c r="C14" s="59"/>
      <c r="D14" s="61"/>
      <c r="E14" s="61"/>
      <c r="F14" s="164"/>
      <c r="H14" s="61"/>
      <c r="I14" s="61"/>
      <c r="J14" s="61"/>
      <c r="K14" s="61"/>
      <c r="L14" s="61"/>
    </row>
    <row r="15" spans="1:16" x14ac:dyDescent="0.2">
      <c r="B15" s="67"/>
      <c r="C15" s="59"/>
      <c r="D15" s="61"/>
      <c r="E15" s="61"/>
      <c r="F15" s="61"/>
      <c r="G15" s="61"/>
      <c r="H15" s="61"/>
      <c r="I15" s="61"/>
      <c r="J15" s="61"/>
      <c r="K15" s="61"/>
      <c r="L15" s="61"/>
    </row>
    <row r="16" spans="1:16" x14ac:dyDescent="0.2">
      <c r="B16" s="61"/>
      <c r="C16" s="59"/>
      <c r="D16" s="61"/>
      <c r="E16" s="61"/>
      <c r="F16" s="61"/>
      <c r="G16" s="61"/>
      <c r="H16" s="61"/>
      <c r="I16" s="61"/>
      <c r="J16" s="61"/>
      <c r="K16" s="61"/>
      <c r="L16" s="61"/>
    </row>
    <row r="17" spans="1:12" x14ac:dyDescent="0.2">
      <c r="B17" s="61"/>
      <c r="C17" s="59"/>
      <c r="D17" s="61"/>
      <c r="E17" s="61"/>
      <c r="F17" s="61"/>
      <c r="G17" s="61"/>
      <c r="H17" s="61"/>
      <c r="I17" s="61"/>
      <c r="J17" s="61"/>
      <c r="K17" s="61"/>
      <c r="L17" s="61"/>
    </row>
    <row r="18" spans="1:12" x14ac:dyDescent="0.2">
      <c r="B18" s="64"/>
      <c r="C18" s="59"/>
      <c r="D18" s="61"/>
      <c r="E18" s="61"/>
      <c r="F18" s="61"/>
      <c r="H18" s="61"/>
      <c r="I18" s="61"/>
      <c r="K18" s="61"/>
      <c r="L18" s="61"/>
    </row>
    <row r="19" spans="1:12" x14ac:dyDescent="0.2">
      <c r="B19" s="64"/>
      <c r="C19" s="59"/>
      <c r="D19" s="61"/>
      <c r="E19" s="61"/>
      <c r="F19" s="61"/>
      <c r="H19" s="165"/>
      <c r="K19" s="61"/>
      <c r="L19" s="61"/>
    </row>
    <row r="20" spans="1:12" x14ac:dyDescent="0.2">
      <c r="B20" s="68"/>
      <c r="C20" s="59"/>
      <c r="D20" s="61"/>
      <c r="E20" s="61"/>
      <c r="F20" s="61"/>
      <c r="G20" s="61"/>
      <c r="H20" s="61"/>
      <c r="I20" s="61"/>
      <c r="J20" s="61"/>
      <c r="K20" s="61"/>
      <c r="L20" s="61"/>
    </row>
    <row r="21" spans="1:12" x14ac:dyDescent="0.2">
      <c r="B21" s="61"/>
      <c r="C21" s="59"/>
      <c r="D21" s="61"/>
      <c r="E21" s="61"/>
      <c r="F21" s="61"/>
      <c r="G21" s="61"/>
      <c r="H21" s="61"/>
      <c r="I21" s="61"/>
      <c r="J21" s="61"/>
      <c r="K21" s="61"/>
      <c r="L21" s="61"/>
    </row>
    <row r="22" spans="1:12" x14ac:dyDescent="0.2">
      <c r="B22" s="61"/>
      <c r="C22" s="59"/>
      <c r="D22" s="61"/>
      <c r="E22" s="61"/>
      <c r="F22" s="61"/>
      <c r="G22" s="61"/>
      <c r="H22" s="61"/>
      <c r="I22" s="61"/>
      <c r="J22" s="61"/>
      <c r="K22" s="61"/>
      <c r="L22" s="61"/>
    </row>
    <row r="23" spans="1:12" x14ac:dyDescent="0.2">
      <c r="B23" s="61"/>
      <c r="C23" s="59"/>
      <c r="D23" s="61"/>
      <c r="E23" s="61"/>
      <c r="F23" s="61"/>
      <c r="G23" s="61"/>
      <c r="H23" s="61"/>
      <c r="I23" s="61"/>
      <c r="J23" s="61"/>
      <c r="K23" s="61"/>
      <c r="L23" s="61"/>
    </row>
    <row r="24" spans="1:12" x14ac:dyDescent="0.2">
      <c r="B24" s="162"/>
      <c r="C24" s="59"/>
      <c r="D24" s="61"/>
      <c r="E24" s="61"/>
      <c r="F24" s="61"/>
      <c r="G24" s="61"/>
      <c r="H24" s="61"/>
      <c r="I24" s="61"/>
      <c r="J24" s="61"/>
      <c r="K24" s="61"/>
      <c r="L24" s="61"/>
    </row>
    <row r="25" spans="1:12" x14ac:dyDescent="0.2">
      <c r="A25" s="66"/>
      <c r="B25" s="62"/>
      <c r="C25" s="60"/>
      <c r="D25" s="61"/>
      <c r="E25" s="61"/>
      <c r="F25" s="61"/>
      <c r="G25" s="61"/>
      <c r="H25" s="61"/>
      <c r="I25" s="61"/>
      <c r="J25" s="61"/>
      <c r="K25" s="61"/>
      <c r="L25" s="61"/>
    </row>
    <row r="26" spans="1:12" x14ac:dyDescent="0.2">
      <c r="B26" s="62"/>
      <c r="C26" s="59"/>
      <c r="D26" s="61"/>
      <c r="E26" s="61"/>
      <c r="F26" s="61"/>
      <c r="G26" s="61"/>
      <c r="H26" s="61"/>
      <c r="I26" s="61"/>
      <c r="J26" s="61"/>
      <c r="K26" s="61"/>
      <c r="L26" s="61"/>
    </row>
    <row r="27" spans="1:12" x14ac:dyDescent="0.2">
      <c r="B27" s="64"/>
      <c r="C27" s="59"/>
      <c r="D27" s="61"/>
      <c r="E27" s="61"/>
      <c r="F27" s="61"/>
      <c r="G27" s="61"/>
      <c r="H27" s="61"/>
      <c r="I27" s="61"/>
      <c r="J27" s="61"/>
      <c r="K27" s="61"/>
      <c r="L27" s="61"/>
    </row>
    <row r="28" spans="1:12" x14ac:dyDescent="0.2">
      <c r="B28" s="61"/>
      <c r="C28" s="59"/>
      <c r="D28" s="61"/>
      <c r="E28" s="61"/>
      <c r="F28" s="61"/>
      <c r="G28" s="61"/>
      <c r="H28" s="61"/>
      <c r="I28" s="61"/>
      <c r="J28" s="61"/>
      <c r="K28" s="61"/>
      <c r="L28" s="61"/>
    </row>
    <row r="29" spans="1:12" x14ac:dyDescent="0.2">
      <c r="B29" s="62"/>
      <c r="C29" s="59"/>
      <c r="D29" s="61"/>
      <c r="E29" s="61"/>
      <c r="F29" s="61"/>
      <c r="G29" s="61"/>
      <c r="H29" s="61"/>
      <c r="I29" s="61"/>
      <c r="J29" s="61"/>
      <c r="K29" s="61"/>
      <c r="L29" s="61"/>
    </row>
    <row r="30" spans="1:12" x14ac:dyDescent="0.2">
      <c r="B30" s="61"/>
      <c r="C30" s="59"/>
      <c r="D30" s="61"/>
      <c r="E30" s="61"/>
      <c r="F30" s="61"/>
      <c r="G30" s="61"/>
      <c r="H30" s="61"/>
      <c r="I30" s="61"/>
      <c r="J30" s="61"/>
      <c r="K30" s="61"/>
      <c r="L30" s="61"/>
    </row>
    <row r="31" spans="1:12" x14ac:dyDescent="0.2">
      <c r="B31" s="166"/>
      <c r="C31" s="59"/>
      <c r="D31" s="61"/>
      <c r="E31" s="61"/>
      <c r="F31" s="61"/>
      <c r="G31" s="61"/>
      <c r="H31" s="61"/>
      <c r="I31" s="61"/>
      <c r="J31" s="61"/>
      <c r="K31" s="61"/>
      <c r="L31" s="61"/>
    </row>
    <row r="32" spans="1:12" x14ac:dyDescent="0.2">
      <c r="B32" s="61"/>
      <c r="C32" s="59"/>
      <c r="D32" s="61"/>
      <c r="E32" s="61"/>
      <c r="F32" s="61"/>
      <c r="G32" s="61"/>
      <c r="H32" s="61"/>
      <c r="I32" s="61"/>
      <c r="J32" s="61"/>
      <c r="K32" s="61"/>
      <c r="L32" s="61"/>
    </row>
    <row r="33" spans="2:12" x14ac:dyDescent="0.2">
      <c r="B33" s="62"/>
      <c r="C33" s="60"/>
      <c r="D33" s="61"/>
      <c r="E33" s="61"/>
      <c r="F33" s="61"/>
      <c r="G33" s="61"/>
      <c r="H33" s="61"/>
      <c r="I33" s="61"/>
      <c r="J33" s="61"/>
      <c r="K33" s="61"/>
      <c r="L33" s="61"/>
    </row>
    <row r="34" spans="2:12" x14ac:dyDescent="0.2">
      <c r="B34" s="61"/>
      <c r="C34" s="59"/>
      <c r="D34" s="61"/>
      <c r="E34" s="61"/>
      <c r="F34" s="61"/>
      <c r="G34" s="61"/>
      <c r="H34" s="61"/>
      <c r="I34" s="61"/>
      <c r="J34" s="61"/>
      <c r="K34" s="61"/>
      <c r="L34" s="61"/>
    </row>
  </sheetData>
  <sortState xmlns:xlrd2="http://schemas.microsoft.com/office/spreadsheetml/2017/richdata2" ref="M2:M5">
    <sortCondition ref="M2:M5"/>
  </sortState>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G16" sqref="G16"/>
    </sheetView>
  </sheetViews>
  <sheetFormatPr defaultRowHeight="12.75" x14ac:dyDescent="0.2"/>
  <cols>
    <col min="3" max="3" width="17.140625" customWidth="1"/>
    <col min="4" max="4" width="19.28515625" style="106" customWidth="1"/>
    <col min="5" max="5" width="4" customWidth="1"/>
    <col min="6" max="6" width="18.42578125" style="106" customWidth="1"/>
    <col min="9" max="9" width="18.7109375" customWidth="1"/>
  </cols>
  <sheetData>
    <row r="1" spans="3:9" ht="38.25" x14ac:dyDescent="0.2">
      <c r="C1" s="70" t="s">
        <v>32</v>
      </c>
      <c r="D1" s="104" t="s">
        <v>33</v>
      </c>
      <c r="F1" s="104" t="s">
        <v>85</v>
      </c>
    </row>
    <row r="2" spans="3:9" x14ac:dyDescent="0.2">
      <c r="C2" s="108" t="s">
        <v>87</v>
      </c>
      <c r="D2" s="104"/>
      <c r="F2" s="107">
        <v>14.7</v>
      </c>
      <c r="I2" s="109" t="s">
        <v>88</v>
      </c>
    </row>
    <row r="3" spans="3:9" x14ac:dyDescent="0.2">
      <c r="C3" s="103" t="s">
        <v>34</v>
      </c>
      <c r="D3" s="105">
        <v>30.04</v>
      </c>
      <c r="F3" s="105">
        <v>14.75</v>
      </c>
      <c r="I3" s="102" t="s">
        <v>86</v>
      </c>
    </row>
    <row r="4" spans="3:9" x14ac:dyDescent="0.2">
      <c r="C4" s="103" t="s">
        <v>35</v>
      </c>
      <c r="D4" s="105">
        <v>29.93</v>
      </c>
      <c r="F4" s="105">
        <v>14.64</v>
      </c>
    </row>
    <row r="5" spans="3:9" x14ac:dyDescent="0.2">
      <c r="C5" s="103" t="s">
        <v>36</v>
      </c>
      <c r="D5" s="105">
        <v>29.96</v>
      </c>
      <c r="F5" s="105">
        <v>14.66</v>
      </c>
    </row>
    <row r="6" spans="3:9" x14ac:dyDescent="0.2">
      <c r="C6" s="103" t="s">
        <v>37</v>
      </c>
      <c r="D6" s="105">
        <v>30.03</v>
      </c>
      <c r="F6" s="105">
        <v>14.73</v>
      </c>
    </row>
    <row r="7" spans="3:9" x14ac:dyDescent="0.2">
      <c r="C7" s="103" t="s">
        <v>38</v>
      </c>
      <c r="D7" s="105">
        <v>29.99</v>
      </c>
      <c r="F7" s="105">
        <v>14.68</v>
      </c>
    </row>
    <row r="8" spans="3:9" x14ac:dyDescent="0.2">
      <c r="C8" s="103" t="s">
        <v>39</v>
      </c>
      <c r="D8" s="105">
        <v>29.92</v>
      </c>
      <c r="F8" s="105">
        <v>14.63</v>
      </c>
    </row>
    <row r="9" spans="3:9" x14ac:dyDescent="0.2">
      <c r="C9" s="103" t="s">
        <v>40</v>
      </c>
      <c r="D9" s="105">
        <v>30.08</v>
      </c>
      <c r="F9" s="105">
        <v>14.79</v>
      </c>
    </row>
    <row r="10" spans="3:9" x14ac:dyDescent="0.2">
      <c r="C10" s="103" t="s">
        <v>41</v>
      </c>
      <c r="D10" s="105">
        <v>30.06</v>
      </c>
      <c r="F10" s="105">
        <v>14.76</v>
      </c>
      <c r="H10" s="102"/>
    </row>
    <row r="11" spans="3:9" x14ac:dyDescent="0.2">
      <c r="C11" s="103" t="s">
        <v>42</v>
      </c>
      <c r="D11" s="105">
        <v>30.05</v>
      </c>
      <c r="F11" s="105">
        <v>14.74</v>
      </c>
    </row>
    <row r="12" spans="3:9" x14ac:dyDescent="0.2">
      <c r="C12" s="103" t="s">
        <v>43</v>
      </c>
      <c r="D12" s="105">
        <v>30.04</v>
      </c>
      <c r="F12" s="105">
        <v>14.74</v>
      </c>
    </row>
    <row r="13" spans="3:9" x14ac:dyDescent="0.2">
      <c r="C13" s="103" t="s">
        <v>44</v>
      </c>
      <c r="D13" s="105">
        <v>29.92</v>
      </c>
      <c r="F13" s="105">
        <v>14.63</v>
      </c>
    </row>
    <row r="14" spans="3:9" x14ac:dyDescent="0.2">
      <c r="C14" s="103" t="s">
        <v>45</v>
      </c>
      <c r="D14" s="105">
        <v>29.95</v>
      </c>
      <c r="F14" s="105">
        <v>14.71</v>
      </c>
    </row>
    <row r="15" spans="3:9" x14ac:dyDescent="0.2">
      <c r="C15" s="103" t="s">
        <v>46</v>
      </c>
      <c r="D15" s="105">
        <v>30.02</v>
      </c>
      <c r="F15" s="105">
        <v>14.74</v>
      </c>
    </row>
    <row r="16" spans="3:9" x14ac:dyDescent="0.2">
      <c r="C16" s="103" t="s">
        <v>47</v>
      </c>
      <c r="D16" s="105">
        <v>30.03</v>
      </c>
      <c r="F16" s="105">
        <v>14.74</v>
      </c>
    </row>
    <row r="17" spans="3:6" x14ac:dyDescent="0.2">
      <c r="C17" s="103" t="s">
        <v>48</v>
      </c>
      <c r="D17" s="105">
        <v>30.01</v>
      </c>
      <c r="F17" s="105">
        <v>14.72</v>
      </c>
    </row>
    <row r="18" spans="3:6" x14ac:dyDescent="0.2">
      <c r="C18" s="103" t="s">
        <v>49</v>
      </c>
      <c r="D18" s="105">
        <v>29.99</v>
      </c>
      <c r="F18" s="105">
        <v>14.69</v>
      </c>
    </row>
    <row r="19" spans="3:6" x14ac:dyDescent="0.2">
      <c r="C19" s="103" t="s">
        <v>50</v>
      </c>
      <c r="D19" s="105">
        <v>30.03</v>
      </c>
      <c r="F19" s="105">
        <v>14.74</v>
      </c>
    </row>
    <row r="20" spans="3:6" x14ac:dyDescent="0.2">
      <c r="C20" s="103" t="s">
        <v>51</v>
      </c>
      <c r="D20" s="105">
        <v>30.04</v>
      </c>
      <c r="F20" s="105">
        <v>14.75</v>
      </c>
    </row>
    <row r="21" spans="3:6" x14ac:dyDescent="0.2">
      <c r="C21" s="103" t="s">
        <v>52</v>
      </c>
      <c r="D21" s="105">
        <v>30.09</v>
      </c>
      <c r="F21" s="105">
        <v>14.81</v>
      </c>
    </row>
    <row r="22" spans="3:6" x14ac:dyDescent="0.2">
      <c r="C22" s="103" t="s">
        <v>53</v>
      </c>
      <c r="D22" s="105">
        <v>30.06</v>
      </c>
      <c r="F22" s="105">
        <v>14.76</v>
      </c>
    </row>
    <row r="23" spans="3:6" x14ac:dyDescent="0.2">
      <c r="C23" s="103" t="s">
        <v>54</v>
      </c>
      <c r="D23" s="105">
        <v>30.08</v>
      </c>
      <c r="F23" s="105">
        <v>14.79</v>
      </c>
    </row>
    <row r="24" spans="3:6" x14ac:dyDescent="0.2">
      <c r="C24" s="103" t="s">
        <v>55</v>
      </c>
      <c r="D24" s="105">
        <v>30.02</v>
      </c>
      <c r="F24" s="105">
        <v>14.73</v>
      </c>
    </row>
    <row r="25" spans="3:6" x14ac:dyDescent="0.2">
      <c r="C25" s="103" t="s">
        <v>56</v>
      </c>
      <c r="D25" s="105">
        <v>30</v>
      </c>
      <c r="F25" s="105">
        <v>14.71</v>
      </c>
    </row>
    <row r="26" spans="3:6" x14ac:dyDescent="0.2">
      <c r="C26" s="103" t="s">
        <v>57</v>
      </c>
      <c r="D26" s="105">
        <v>30.04</v>
      </c>
      <c r="F26" s="105">
        <v>14.75</v>
      </c>
    </row>
    <row r="27" spans="3:6" x14ac:dyDescent="0.2">
      <c r="C27" s="103" t="s">
        <v>58</v>
      </c>
      <c r="D27" s="105">
        <v>30.02</v>
      </c>
      <c r="F27" s="105">
        <v>14.73</v>
      </c>
    </row>
    <row r="28" spans="3:6" x14ac:dyDescent="0.2">
      <c r="C28" s="103" t="s">
        <v>59</v>
      </c>
      <c r="D28" s="105">
        <v>29.95</v>
      </c>
      <c r="F28" s="105">
        <v>14.69</v>
      </c>
    </row>
    <row r="29" spans="3:6" x14ac:dyDescent="0.2">
      <c r="C29" s="103" t="s">
        <v>60</v>
      </c>
      <c r="D29" s="105">
        <v>30</v>
      </c>
      <c r="F29" s="105">
        <v>14.71</v>
      </c>
    </row>
    <row r="30" spans="3:6" x14ac:dyDescent="0.2">
      <c r="C30" s="103" t="s">
        <v>61</v>
      </c>
      <c r="D30" s="105">
        <v>29.96</v>
      </c>
      <c r="F30" s="105">
        <v>14.69</v>
      </c>
    </row>
    <row r="31" spans="3:6" x14ac:dyDescent="0.2">
      <c r="C31" s="103" t="s">
        <v>62</v>
      </c>
      <c r="D31" s="105">
        <v>30.08</v>
      </c>
      <c r="F31" s="105">
        <v>14.8</v>
      </c>
    </row>
    <row r="32" spans="3:6" x14ac:dyDescent="0.2">
      <c r="C32" s="103" t="s">
        <v>63</v>
      </c>
      <c r="D32" s="105">
        <v>30.07</v>
      </c>
      <c r="F32" s="105">
        <v>14.77</v>
      </c>
    </row>
    <row r="33" spans="3:6" x14ac:dyDescent="0.2">
      <c r="C33" s="103" t="s">
        <v>64</v>
      </c>
      <c r="D33" s="105">
        <v>29.95</v>
      </c>
      <c r="F33" s="105">
        <v>14.68</v>
      </c>
    </row>
    <row r="34" spans="3:6" x14ac:dyDescent="0.2">
      <c r="C34" s="103" t="s">
        <v>65</v>
      </c>
      <c r="D34" s="105">
        <v>30.07</v>
      </c>
      <c r="F34" s="105">
        <v>14.77</v>
      </c>
    </row>
    <row r="35" spans="3:6" x14ac:dyDescent="0.2">
      <c r="C35" s="103" t="s">
        <v>66</v>
      </c>
      <c r="D35" s="105">
        <v>30.05</v>
      </c>
      <c r="F35" s="105">
        <v>14.75</v>
      </c>
    </row>
    <row r="36" spans="3:6" x14ac:dyDescent="0.2">
      <c r="C36" s="103" t="s">
        <v>67</v>
      </c>
      <c r="D36" s="105">
        <v>29.98</v>
      </c>
      <c r="F36" s="105">
        <v>14.7</v>
      </c>
    </row>
    <row r="37" spans="3:6" x14ac:dyDescent="0.2">
      <c r="C37" s="103" t="s">
        <v>68</v>
      </c>
      <c r="D37" s="105">
        <v>30.03</v>
      </c>
      <c r="F37" s="105">
        <v>14.74</v>
      </c>
    </row>
    <row r="38" spans="3:6" x14ac:dyDescent="0.2">
      <c r="C38" s="103" t="s">
        <v>69</v>
      </c>
      <c r="D38" s="105">
        <v>30.01</v>
      </c>
      <c r="F38" s="105">
        <v>14.71</v>
      </c>
    </row>
    <row r="39" spans="3:6" x14ac:dyDescent="0.2">
      <c r="C39" s="103" t="s">
        <v>70</v>
      </c>
      <c r="D39" s="105">
        <v>29.98</v>
      </c>
      <c r="F39" s="105">
        <v>14.71</v>
      </c>
    </row>
    <row r="40" spans="3:6" x14ac:dyDescent="0.2">
      <c r="C40" s="103" t="s">
        <v>71</v>
      </c>
      <c r="D40" s="105">
        <v>30.05</v>
      </c>
      <c r="F40" s="105">
        <v>14.76</v>
      </c>
    </row>
    <row r="41" spans="3:6" x14ac:dyDescent="0.2">
      <c r="C41" s="103" t="s">
        <v>72</v>
      </c>
      <c r="D41" s="105">
        <v>30.08</v>
      </c>
      <c r="F41" s="105">
        <v>14.8</v>
      </c>
    </row>
    <row r="42" spans="3:6" x14ac:dyDescent="0.2">
      <c r="C42" s="103" t="s">
        <v>73</v>
      </c>
      <c r="D42" s="105">
        <v>30.05</v>
      </c>
      <c r="F42" s="105">
        <v>14.75</v>
      </c>
    </row>
    <row r="43" spans="3:6" x14ac:dyDescent="0.2">
      <c r="C43" s="103" t="s">
        <v>74</v>
      </c>
      <c r="D43" s="105">
        <v>29.99</v>
      </c>
      <c r="F43" s="105">
        <v>14.71</v>
      </c>
    </row>
    <row r="44" spans="3:6" x14ac:dyDescent="0.2">
      <c r="C44" s="103" t="s">
        <v>75</v>
      </c>
      <c r="D44" s="105">
        <v>30.03</v>
      </c>
      <c r="F44" s="105">
        <v>14.74</v>
      </c>
    </row>
    <row r="45" spans="3:6" x14ac:dyDescent="0.2">
      <c r="C45" s="103" t="s">
        <v>76</v>
      </c>
      <c r="D45" s="105">
        <v>30.02</v>
      </c>
      <c r="F45" s="105">
        <v>14.72</v>
      </c>
    </row>
    <row r="46" spans="3:6" x14ac:dyDescent="0.2">
      <c r="C46" s="103" t="s">
        <v>77</v>
      </c>
      <c r="D46" s="105">
        <v>29.95</v>
      </c>
      <c r="F46" s="105">
        <v>14.68</v>
      </c>
    </row>
    <row r="47" spans="3:6" x14ac:dyDescent="0.2">
      <c r="C47" s="103" t="s">
        <v>78</v>
      </c>
      <c r="D47" s="105">
        <v>30.09</v>
      </c>
      <c r="F47" s="105">
        <v>14.81</v>
      </c>
    </row>
    <row r="48" spans="3:6" x14ac:dyDescent="0.2">
      <c r="C48" s="103" t="s">
        <v>79</v>
      </c>
      <c r="D48" s="105">
        <v>30.06</v>
      </c>
      <c r="F48" s="105">
        <v>14.76</v>
      </c>
    </row>
    <row r="49" spans="3:6" x14ac:dyDescent="0.2">
      <c r="C49" s="103" t="s">
        <v>80</v>
      </c>
      <c r="D49" s="105">
        <v>29.99</v>
      </c>
      <c r="F49" s="105">
        <v>14.71</v>
      </c>
    </row>
    <row r="50" spans="3:6" x14ac:dyDescent="0.2">
      <c r="C50" s="103" t="s">
        <v>81</v>
      </c>
      <c r="D50" s="105">
        <v>30.04</v>
      </c>
      <c r="F50" s="105">
        <v>14.75</v>
      </c>
    </row>
    <row r="51" spans="3:6" x14ac:dyDescent="0.2">
      <c r="C51" s="103" t="s">
        <v>82</v>
      </c>
      <c r="D51" s="105">
        <v>30.01</v>
      </c>
      <c r="F51" s="105">
        <v>14.72</v>
      </c>
    </row>
    <row r="52" spans="3:6" x14ac:dyDescent="0.2">
      <c r="C52" s="103" t="s">
        <v>83</v>
      </c>
      <c r="D52" s="105">
        <v>29.95</v>
      </c>
      <c r="F52" s="105">
        <v>14.68</v>
      </c>
    </row>
    <row r="53" spans="3:6" x14ac:dyDescent="0.2">
      <c r="C53" s="102"/>
    </row>
    <row r="54" spans="3:6" x14ac:dyDescent="0.2">
      <c r="C54" s="102" t="s">
        <v>84</v>
      </c>
    </row>
    <row r="55" spans="3:6" x14ac:dyDescent="0.2">
      <c r="C55" s="102"/>
    </row>
  </sheetData>
  <sheetProtection algorithmName="SHA-512" hashValue="4Jq1B8E1Coy04K3RPMlbixkp2NCRyVtEgV6dARfSudc2dijcXTe7VJyETnOpxWFWGCsC1Rny6dOISp/rZ8tqKg==" saltValue="opilWxnoQCwro8W534809w==" spinCount="100000" sheet="1" objects="1" scenarios="1" autoFilter="0" pivotTables="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O121"/>
  <sheetViews>
    <sheetView topLeftCell="A8" zoomScaleNormal="100" zoomScaleSheetLayoutView="100" workbookViewId="0">
      <selection activeCell="S31" sqref="S31"/>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36" t="s">
        <v>3</v>
      </c>
      <c r="B1" s="236"/>
      <c r="C1" s="236"/>
      <c r="D1" s="236"/>
      <c r="E1" s="236"/>
      <c r="F1" s="236"/>
      <c r="G1" s="236"/>
      <c r="H1" s="236"/>
      <c r="I1" s="236"/>
      <c r="J1" s="236"/>
      <c r="K1" s="236"/>
      <c r="L1" s="236"/>
      <c r="M1" s="236"/>
      <c r="N1" s="236"/>
      <c r="O1" s="236"/>
    </row>
    <row r="2" spans="1:15" s="2" customFormat="1" ht="25.5" x14ac:dyDescent="0.2">
      <c r="A2" s="3" t="s">
        <v>0</v>
      </c>
      <c r="B2" s="4" t="s">
        <v>4</v>
      </c>
      <c r="C2" s="3" t="s">
        <v>5</v>
      </c>
      <c r="D2" s="5"/>
      <c r="E2" s="6"/>
      <c r="F2" s="7" t="s">
        <v>6</v>
      </c>
      <c r="G2" s="8"/>
      <c r="H2" s="9"/>
      <c r="I2" s="6" t="s">
        <v>0</v>
      </c>
      <c r="J2" s="4" t="s">
        <v>4</v>
      </c>
      <c r="K2" s="3" t="s">
        <v>5</v>
      </c>
      <c r="L2" s="5"/>
      <c r="M2" s="6"/>
      <c r="N2" s="7" t="s">
        <v>7</v>
      </c>
      <c r="O2" s="10"/>
    </row>
    <row r="3" spans="1:15" ht="13.5" thickBot="1" x14ac:dyDescent="0.25">
      <c r="A3" s="11"/>
      <c r="B3" s="11" t="s">
        <v>2</v>
      </c>
      <c r="C3" s="12" t="s">
        <v>8</v>
      </c>
      <c r="D3" s="13" t="s">
        <v>9</v>
      </c>
      <c r="E3" s="13" t="s">
        <v>10</v>
      </c>
      <c r="F3" s="14" t="s">
        <v>11</v>
      </c>
      <c r="G3" s="15" t="s">
        <v>12</v>
      </c>
      <c r="H3" s="16"/>
      <c r="I3" s="17" t="s">
        <v>1</v>
      </c>
      <c r="J3" s="11" t="s">
        <v>2</v>
      </c>
      <c r="K3" s="12" t="s">
        <v>8</v>
      </c>
      <c r="L3" s="13" t="s">
        <v>9</v>
      </c>
      <c r="M3" s="13" t="s">
        <v>10</v>
      </c>
      <c r="N3" s="14" t="s">
        <v>11</v>
      </c>
      <c r="O3" s="18" t="s">
        <v>12</v>
      </c>
    </row>
    <row r="4" spans="1:15" x14ac:dyDescent="0.2">
      <c r="A4" s="54" t="s">
        <v>13</v>
      </c>
      <c r="B4" s="19"/>
      <c r="C4" s="20"/>
      <c r="D4" s="21"/>
      <c r="E4" s="21"/>
      <c r="F4" s="22"/>
      <c r="G4" s="23"/>
      <c r="H4" s="24"/>
      <c r="I4" s="25">
        <v>150</v>
      </c>
      <c r="J4" s="26">
        <v>365.9</v>
      </c>
      <c r="K4" s="27">
        <v>338.6</v>
      </c>
      <c r="L4" s="28">
        <v>857</v>
      </c>
      <c r="M4" s="28">
        <v>1195.5999999999999</v>
      </c>
      <c r="N4" s="22">
        <v>1.8180000000000002E-2</v>
      </c>
      <c r="O4" s="29">
        <v>2.7559999999999998</v>
      </c>
    </row>
    <row r="5" spans="1:15" x14ac:dyDescent="0.2">
      <c r="A5" s="30">
        <v>24.999161676646708</v>
      </c>
      <c r="B5" s="26">
        <v>133.19999999999999</v>
      </c>
      <c r="C5" s="27">
        <v>101.2</v>
      </c>
      <c r="D5" s="28">
        <v>1018</v>
      </c>
      <c r="E5" s="28">
        <v>1119.2</v>
      </c>
      <c r="F5" s="22">
        <v>1.626E-2</v>
      </c>
      <c r="G5" s="31">
        <v>145.30000000000001</v>
      </c>
      <c r="H5" s="24"/>
      <c r="I5" s="25">
        <v>155</v>
      </c>
      <c r="J5" s="26">
        <v>368.3</v>
      </c>
      <c r="K5" s="27">
        <v>341.1</v>
      </c>
      <c r="L5" s="28">
        <v>854.9</v>
      </c>
      <c r="M5" s="28">
        <v>1196</v>
      </c>
      <c r="N5" s="22">
        <v>1.821E-2</v>
      </c>
      <c r="O5" s="29">
        <v>2.6779999999999999</v>
      </c>
    </row>
    <row r="6" spans="1:15" x14ac:dyDescent="0.2">
      <c r="A6" s="30">
        <v>19.998922155688625</v>
      </c>
      <c r="B6" s="26">
        <v>161.19999999999999</v>
      </c>
      <c r="C6" s="27">
        <v>129.1</v>
      </c>
      <c r="D6" s="28">
        <v>1001.5</v>
      </c>
      <c r="E6" s="28">
        <v>1130.5999999999999</v>
      </c>
      <c r="F6" s="22">
        <v>1.6400000000000001E-2</v>
      </c>
      <c r="G6" s="32">
        <v>75.41</v>
      </c>
      <c r="H6" s="24"/>
      <c r="I6" s="25">
        <v>160</v>
      </c>
      <c r="J6" s="26">
        <v>370.6</v>
      </c>
      <c r="K6" s="27">
        <v>343.6</v>
      </c>
      <c r="L6" s="28">
        <v>852.8</v>
      </c>
      <c r="M6" s="28">
        <v>1196.4000000000001</v>
      </c>
      <c r="N6" s="22">
        <v>1.8239999999999999E-2</v>
      </c>
      <c r="O6" s="29">
        <v>2.605</v>
      </c>
    </row>
    <row r="7" spans="1:15" x14ac:dyDescent="0.2">
      <c r="A7" s="30">
        <v>14.998682634730542</v>
      </c>
      <c r="B7" s="26">
        <v>178.9</v>
      </c>
      <c r="C7" s="27">
        <v>146.9</v>
      </c>
      <c r="D7" s="28">
        <v>990.8</v>
      </c>
      <c r="E7" s="28">
        <v>1137.7</v>
      </c>
      <c r="F7" s="22">
        <v>1.6500000000000001E-2</v>
      </c>
      <c r="G7" s="32">
        <v>51.41</v>
      </c>
      <c r="H7" s="24"/>
      <c r="I7" s="25">
        <v>165</v>
      </c>
      <c r="J7" s="26">
        <v>372.9</v>
      </c>
      <c r="K7" s="27">
        <v>346.1</v>
      </c>
      <c r="L7" s="28">
        <v>850.8</v>
      </c>
      <c r="M7" s="28">
        <v>1196.9000000000001</v>
      </c>
      <c r="N7" s="22">
        <v>1.8270000000000002E-2</v>
      </c>
      <c r="O7" s="29">
        <v>2.5350000000000001</v>
      </c>
    </row>
    <row r="8" spans="1:15" x14ac:dyDescent="0.2">
      <c r="A8" s="30">
        <v>9.9984431137724581</v>
      </c>
      <c r="B8" s="26">
        <v>192.2</v>
      </c>
      <c r="C8" s="27">
        <v>160.19999999999999</v>
      </c>
      <c r="D8" s="28">
        <v>982.7</v>
      </c>
      <c r="E8" s="28">
        <v>1143</v>
      </c>
      <c r="F8" s="22">
        <v>1.6590000000000001E-2</v>
      </c>
      <c r="G8" s="32">
        <v>39.22</v>
      </c>
      <c r="H8" s="24"/>
      <c r="I8" s="25">
        <v>170</v>
      </c>
      <c r="J8" s="26">
        <v>375.2</v>
      </c>
      <c r="K8" s="27">
        <v>348.5</v>
      </c>
      <c r="L8" s="28">
        <v>848.8</v>
      </c>
      <c r="M8" s="28">
        <v>1197.3</v>
      </c>
      <c r="N8" s="22">
        <v>1.83E-2</v>
      </c>
      <c r="O8" s="29">
        <v>2.4689999999999999</v>
      </c>
    </row>
    <row r="9" spans="1:15" ht="13.5" thickBot="1" x14ac:dyDescent="0.25">
      <c r="A9" s="33">
        <v>4.9982035928143747</v>
      </c>
      <c r="B9" s="34">
        <v>202.9</v>
      </c>
      <c r="C9" s="35">
        <v>171</v>
      </c>
      <c r="D9" s="36">
        <v>976</v>
      </c>
      <c r="E9" s="36">
        <v>1147</v>
      </c>
      <c r="F9" s="37">
        <v>1.6660000000000001E-2</v>
      </c>
      <c r="G9" s="38">
        <v>31.82</v>
      </c>
      <c r="H9" s="24"/>
      <c r="I9" s="25">
        <v>175</v>
      </c>
      <c r="J9" s="26">
        <v>377.4</v>
      </c>
      <c r="K9" s="27">
        <v>350.8</v>
      </c>
      <c r="L9" s="28">
        <v>846.8</v>
      </c>
      <c r="M9" s="28">
        <v>1197.5999999999999</v>
      </c>
      <c r="N9" s="22">
        <v>1.8329999999999999E-2</v>
      </c>
      <c r="O9" s="29">
        <v>2.407</v>
      </c>
    </row>
    <row r="10" spans="1:15" x14ac:dyDescent="0.2">
      <c r="A10" s="54" t="s">
        <v>1</v>
      </c>
      <c r="B10" s="19"/>
      <c r="C10" s="20"/>
      <c r="D10" s="21"/>
      <c r="E10" s="21"/>
      <c r="F10" s="22"/>
      <c r="G10" s="39"/>
      <c r="H10" s="24"/>
      <c r="I10" s="25">
        <v>180</v>
      </c>
      <c r="J10" s="26">
        <v>379.6</v>
      </c>
      <c r="K10" s="27">
        <v>353.1</v>
      </c>
      <c r="L10" s="28">
        <v>844.9</v>
      </c>
      <c r="M10" s="28">
        <v>1198</v>
      </c>
      <c r="N10" s="22">
        <v>1.8350000000000002E-2</v>
      </c>
      <c r="O10" s="29">
        <v>2.347</v>
      </c>
    </row>
    <row r="11" spans="1:15" x14ac:dyDescent="0.2">
      <c r="A11" s="30">
        <v>0</v>
      </c>
      <c r="B11" s="26">
        <v>212</v>
      </c>
      <c r="C11" s="27">
        <v>180.2</v>
      </c>
      <c r="D11" s="28">
        <v>970.3</v>
      </c>
      <c r="E11" s="28">
        <v>1150.5</v>
      </c>
      <c r="F11" s="22">
        <v>1.6719999999999999E-2</v>
      </c>
      <c r="G11" s="32">
        <v>26.8</v>
      </c>
      <c r="H11" s="24"/>
      <c r="I11" s="25">
        <v>185</v>
      </c>
      <c r="J11" s="26">
        <v>381.7</v>
      </c>
      <c r="K11" s="27">
        <v>355.4</v>
      </c>
      <c r="L11" s="28">
        <v>842.9</v>
      </c>
      <c r="M11" s="28">
        <v>1198.3</v>
      </c>
      <c r="N11" s="22">
        <v>1.839E-2</v>
      </c>
      <c r="O11" s="29">
        <v>2.2909999999999999</v>
      </c>
    </row>
    <row r="12" spans="1:15" x14ac:dyDescent="0.2">
      <c r="A12" s="30">
        <v>1</v>
      </c>
      <c r="B12" s="26">
        <v>215.3</v>
      </c>
      <c r="C12" s="27">
        <v>183.5</v>
      </c>
      <c r="D12" s="28">
        <v>968.2</v>
      </c>
      <c r="E12" s="28">
        <v>1151.8</v>
      </c>
      <c r="F12" s="22">
        <v>1.6740000000000001E-2</v>
      </c>
      <c r="G12" s="32">
        <v>25.21</v>
      </c>
      <c r="H12" s="24"/>
      <c r="I12" s="25">
        <v>190</v>
      </c>
      <c r="J12" s="26">
        <v>383.8</v>
      </c>
      <c r="K12" s="27">
        <v>357.6</v>
      </c>
      <c r="L12" s="28">
        <v>841</v>
      </c>
      <c r="M12" s="28">
        <v>1198.5999999999999</v>
      </c>
      <c r="N12" s="22">
        <v>1.8409999999999999E-2</v>
      </c>
      <c r="O12" s="29">
        <v>2.2370000000000001</v>
      </c>
    </row>
    <row r="13" spans="1:15" ht="13.5" thickBot="1" x14ac:dyDescent="0.25">
      <c r="A13" s="30">
        <v>2</v>
      </c>
      <c r="B13" s="26">
        <v>218.5</v>
      </c>
      <c r="C13" s="27">
        <v>186.7</v>
      </c>
      <c r="D13" s="28">
        <v>966.2</v>
      </c>
      <c r="E13" s="28">
        <v>1152.9000000000001</v>
      </c>
      <c r="F13" s="22">
        <v>1.6760000000000001E-2</v>
      </c>
      <c r="G13" s="32">
        <v>23.79</v>
      </c>
      <c r="H13" s="24"/>
      <c r="I13" s="40">
        <v>195</v>
      </c>
      <c r="J13" s="34">
        <v>385.8</v>
      </c>
      <c r="K13" s="35">
        <v>359.8</v>
      </c>
      <c r="L13" s="36">
        <v>839.2</v>
      </c>
      <c r="M13" s="36">
        <v>1199</v>
      </c>
      <c r="N13" s="37">
        <v>1.8440000000000002E-2</v>
      </c>
      <c r="O13" s="41">
        <v>2.1850000000000001</v>
      </c>
    </row>
    <row r="14" spans="1:15" x14ac:dyDescent="0.2">
      <c r="A14" s="30">
        <v>3</v>
      </c>
      <c r="B14" s="26">
        <v>221.5</v>
      </c>
      <c r="C14" s="27">
        <v>189.8</v>
      </c>
      <c r="D14" s="28">
        <v>964.3</v>
      </c>
      <c r="E14" s="28">
        <v>1154</v>
      </c>
      <c r="F14" s="22">
        <v>1.6789999999999999E-2</v>
      </c>
      <c r="G14" s="32">
        <v>22.53</v>
      </c>
      <c r="H14" s="24"/>
      <c r="I14" s="25">
        <v>200</v>
      </c>
      <c r="J14" s="26">
        <v>387.8</v>
      </c>
      <c r="K14" s="27">
        <v>362</v>
      </c>
      <c r="L14" s="28">
        <v>837.3</v>
      </c>
      <c r="M14" s="28">
        <v>1199.3</v>
      </c>
      <c r="N14" s="22">
        <v>1.847E-2</v>
      </c>
      <c r="O14" s="29">
        <v>2.1360000000000001</v>
      </c>
    </row>
    <row r="15" spans="1:15" x14ac:dyDescent="0.2">
      <c r="A15" s="30">
        <v>4</v>
      </c>
      <c r="B15" s="26">
        <v>224.4</v>
      </c>
      <c r="C15" s="27">
        <v>192.7</v>
      </c>
      <c r="D15" s="28">
        <v>962.4</v>
      </c>
      <c r="E15" s="28">
        <v>1155</v>
      </c>
      <c r="F15" s="22">
        <v>1.6809999999999999E-2</v>
      </c>
      <c r="G15" s="32">
        <v>21.4</v>
      </c>
      <c r="H15" s="24"/>
      <c r="I15" s="25">
        <v>205</v>
      </c>
      <c r="J15" s="26">
        <v>389.8</v>
      </c>
      <c r="K15" s="27">
        <v>364.1</v>
      </c>
      <c r="L15" s="28">
        <v>835.5</v>
      </c>
      <c r="M15" s="28">
        <v>1199.5999999999999</v>
      </c>
      <c r="N15" s="22">
        <v>1.8499999999999999E-2</v>
      </c>
      <c r="O15" s="29">
        <v>2.089</v>
      </c>
    </row>
    <row r="16" spans="1:15" x14ac:dyDescent="0.2">
      <c r="A16" s="30">
        <v>5</v>
      </c>
      <c r="B16" s="26">
        <v>227.1</v>
      </c>
      <c r="C16" s="27">
        <v>195.4</v>
      </c>
      <c r="D16" s="28">
        <v>960.6</v>
      </c>
      <c r="E16" s="28">
        <v>1156.0999999999999</v>
      </c>
      <c r="F16" s="22">
        <v>1.6830000000000001E-2</v>
      </c>
      <c r="G16" s="32">
        <v>20.38</v>
      </c>
      <c r="H16" s="24"/>
      <c r="I16" s="25">
        <v>210</v>
      </c>
      <c r="J16" s="26">
        <v>391.7</v>
      </c>
      <c r="K16" s="27">
        <v>366.1</v>
      </c>
      <c r="L16" s="28">
        <v>833.7</v>
      </c>
      <c r="M16" s="28">
        <v>1199.8</v>
      </c>
      <c r="N16" s="22">
        <v>1.8519999999999998E-2</v>
      </c>
      <c r="O16" s="29">
        <v>2.044</v>
      </c>
    </row>
    <row r="17" spans="1:15" x14ac:dyDescent="0.2">
      <c r="A17" s="30">
        <v>6</v>
      </c>
      <c r="B17" s="26">
        <v>229.8</v>
      </c>
      <c r="C17" s="27">
        <v>198.1</v>
      </c>
      <c r="D17" s="28">
        <v>958.9</v>
      </c>
      <c r="E17" s="28">
        <v>1157</v>
      </c>
      <c r="F17" s="22">
        <v>1.685E-2</v>
      </c>
      <c r="G17" s="32">
        <v>19.46</v>
      </c>
      <c r="H17" s="24"/>
      <c r="I17" s="25">
        <v>215</v>
      </c>
      <c r="J17" s="26">
        <v>393.6</v>
      </c>
      <c r="K17" s="27">
        <v>368.2</v>
      </c>
      <c r="L17" s="28">
        <v>831.9</v>
      </c>
      <c r="M17" s="28">
        <v>1200.0999999999999</v>
      </c>
      <c r="N17" s="22">
        <v>1.8550000000000001E-2</v>
      </c>
      <c r="O17" s="29">
        <v>2.0009999999999999</v>
      </c>
    </row>
    <row r="18" spans="1:15" x14ac:dyDescent="0.2">
      <c r="A18" s="30">
        <v>7</v>
      </c>
      <c r="B18" s="26">
        <v>232.3</v>
      </c>
      <c r="C18" s="27">
        <v>200.7</v>
      </c>
      <c r="D18" s="28">
        <v>957.2</v>
      </c>
      <c r="E18" s="28">
        <v>1157.9000000000001</v>
      </c>
      <c r="F18" s="22">
        <v>1.687E-2</v>
      </c>
      <c r="G18" s="32">
        <v>18.62</v>
      </c>
      <c r="H18" s="24"/>
      <c r="I18" s="25">
        <v>220</v>
      </c>
      <c r="J18" s="26">
        <v>395.4</v>
      </c>
      <c r="K18" s="27">
        <v>370.2</v>
      </c>
      <c r="L18" s="28">
        <v>830.2</v>
      </c>
      <c r="M18" s="28">
        <v>1200.4000000000001</v>
      </c>
      <c r="N18" s="22">
        <v>1.857E-2</v>
      </c>
      <c r="O18" s="29">
        <v>1.96</v>
      </c>
    </row>
    <row r="19" spans="1:15" x14ac:dyDescent="0.2">
      <c r="A19" s="30">
        <v>8</v>
      </c>
      <c r="B19" s="26">
        <v>234.8</v>
      </c>
      <c r="C19" s="27">
        <v>203.1</v>
      </c>
      <c r="D19" s="28">
        <v>955.6</v>
      </c>
      <c r="E19" s="28">
        <v>1158.7</v>
      </c>
      <c r="F19" s="22">
        <v>1.6889999999999999E-2</v>
      </c>
      <c r="G19" s="32">
        <v>17.850000000000001</v>
      </c>
      <c r="H19" s="24"/>
      <c r="I19" s="25">
        <v>225</v>
      </c>
      <c r="J19" s="26">
        <v>397.3</v>
      </c>
      <c r="K19" s="27">
        <v>372.2</v>
      </c>
      <c r="L19" s="28">
        <v>828.5</v>
      </c>
      <c r="M19" s="28">
        <v>1200.7</v>
      </c>
      <c r="N19" s="22">
        <v>1.8599999999999998E-2</v>
      </c>
      <c r="O19" s="29">
        <v>1.92</v>
      </c>
    </row>
    <row r="20" spans="1:15" ht="13.5" thickBot="1" x14ac:dyDescent="0.25">
      <c r="A20" s="33">
        <v>9</v>
      </c>
      <c r="B20" s="34">
        <v>237.1</v>
      </c>
      <c r="C20" s="35">
        <v>205.5</v>
      </c>
      <c r="D20" s="36">
        <v>954.1</v>
      </c>
      <c r="E20" s="36">
        <v>1159.5999999999999</v>
      </c>
      <c r="F20" s="37">
        <v>1.6899999999999998E-2</v>
      </c>
      <c r="G20" s="38">
        <v>17.14</v>
      </c>
      <c r="H20" s="24"/>
      <c r="I20" s="25">
        <v>230</v>
      </c>
      <c r="J20" s="26">
        <v>399.1</v>
      </c>
      <c r="K20" s="27">
        <v>374.1</v>
      </c>
      <c r="L20" s="28">
        <v>826.7</v>
      </c>
      <c r="M20" s="28">
        <v>1200.8</v>
      </c>
      <c r="N20" s="22">
        <v>1.8630000000000001E-2</v>
      </c>
      <c r="O20" s="29">
        <v>1.8819999999999999</v>
      </c>
    </row>
    <row r="21" spans="1:15" x14ac:dyDescent="0.2">
      <c r="A21" s="30">
        <v>10</v>
      </c>
      <c r="B21" s="26">
        <v>239.4</v>
      </c>
      <c r="C21" s="27">
        <v>207.8</v>
      </c>
      <c r="D21" s="28">
        <v>952.6</v>
      </c>
      <c r="E21" s="28">
        <v>1160.4000000000001</v>
      </c>
      <c r="F21" s="22">
        <v>1.6920000000000001E-2</v>
      </c>
      <c r="G21" s="32">
        <v>16.489999999999998</v>
      </c>
      <c r="H21" s="24"/>
      <c r="I21" s="25">
        <v>235</v>
      </c>
      <c r="J21" s="26">
        <v>400.9</v>
      </c>
      <c r="K21" s="27">
        <v>376</v>
      </c>
      <c r="L21" s="28">
        <v>825.1</v>
      </c>
      <c r="M21" s="28">
        <v>1201.0999999999999</v>
      </c>
      <c r="N21" s="22">
        <v>1.865E-2</v>
      </c>
      <c r="O21" s="29">
        <v>1.845</v>
      </c>
    </row>
    <row r="22" spans="1:15" x14ac:dyDescent="0.2">
      <c r="A22" s="30">
        <v>12</v>
      </c>
      <c r="B22" s="26">
        <v>243.7</v>
      </c>
      <c r="C22" s="27">
        <v>212.2</v>
      </c>
      <c r="D22" s="28">
        <v>949.6</v>
      </c>
      <c r="E22" s="28">
        <v>1161.9000000000001</v>
      </c>
      <c r="F22" s="22">
        <v>1.6959999999999999E-2</v>
      </c>
      <c r="G22" s="32">
        <v>15.33</v>
      </c>
      <c r="H22" s="24"/>
      <c r="I22" s="25">
        <v>240</v>
      </c>
      <c r="J22" s="26">
        <v>402.6</v>
      </c>
      <c r="K22" s="27">
        <v>377.9</v>
      </c>
      <c r="L22" s="28">
        <v>823.4</v>
      </c>
      <c r="M22" s="28">
        <v>1201.3</v>
      </c>
      <c r="N22" s="22">
        <v>1.8679999999999999E-2</v>
      </c>
      <c r="O22" s="29">
        <v>1.81</v>
      </c>
    </row>
    <row r="23" spans="1:15" ht="13.5" thickBot="1" x14ac:dyDescent="0.25">
      <c r="A23" s="30">
        <v>14</v>
      </c>
      <c r="B23" s="26">
        <v>247.8</v>
      </c>
      <c r="C23" s="27">
        <v>216.4</v>
      </c>
      <c r="D23" s="28">
        <v>946.9</v>
      </c>
      <c r="E23" s="28">
        <v>1163.3</v>
      </c>
      <c r="F23" s="22">
        <v>1.6990000000000002E-2</v>
      </c>
      <c r="G23" s="32">
        <v>14.33</v>
      </c>
      <c r="H23" s="24"/>
      <c r="I23" s="40">
        <v>245</v>
      </c>
      <c r="J23" s="34">
        <v>404.3</v>
      </c>
      <c r="K23" s="35">
        <v>379.8</v>
      </c>
      <c r="L23" s="36">
        <v>821.7</v>
      </c>
      <c r="M23" s="36">
        <v>1201.5</v>
      </c>
      <c r="N23" s="37">
        <v>1.8700000000000001E-2</v>
      </c>
      <c r="O23" s="41">
        <v>1.776</v>
      </c>
    </row>
    <row r="24" spans="1:15" x14ac:dyDescent="0.2">
      <c r="A24" s="30">
        <v>16</v>
      </c>
      <c r="B24" s="26">
        <v>251.7</v>
      </c>
      <c r="C24" s="27">
        <v>220.2</v>
      </c>
      <c r="D24" s="28">
        <v>944.3</v>
      </c>
      <c r="E24" s="28">
        <v>1164.5</v>
      </c>
      <c r="F24" s="22">
        <v>1.702E-2</v>
      </c>
      <c r="G24" s="32">
        <v>13.45</v>
      </c>
      <c r="H24" s="24"/>
      <c r="I24" s="25">
        <v>250</v>
      </c>
      <c r="J24" s="26">
        <v>406</v>
      </c>
      <c r="K24" s="27">
        <v>381.6</v>
      </c>
      <c r="L24" s="28">
        <v>820.1</v>
      </c>
      <c r="M24" s="28">
        <v>1201.7</v>
      </c>
      <c r="N24" s="22">
        <v>1.873E-2</v>
      </c>
      <c r="O24" s="29">
        <v>1.744</v>
      </c>
    </row>
    <row r="25" spans="1:15" ht="13.5" thickBot="1" x14ac:dyDescent="0.25">
      <c r="A25" s="33">
        <v>18</v>
      </c>
      <c r="B25" s="34">
        <v>255.3</v>
      </c>
      <c r="C25" s="35">
        <v>224</v>
      </c>
      <c r="D25" s="36">
        <v>941.9</v>
      </c>
      <c r="E25" s="36">
        <v>1165.8</v>
      </c>
      <c r="F25" s="37">
        <v>1.7049999999999999E-2</v>
      </c>
      <c r="G25" s="38">
        <v>12.68</v>
      </c>
      <c r="H25" s="24"/>
      <c r="I25" s="25">
        <v>255</v>
      </c>
      <c r="J25" s="26">
        <v>407.7</v>
      </c>
      <c r="K25" s="27">
        <v>383.5</v>
      </c>
      <c r="L25" s="28">
        <v>818.4</v>
      </c>
      <c r="M25" s="28">
        <v>1201.9000000000001</v>
      </c>
      <c r="N25" s="22">
        <v>1.8749999999999999E-2</v>
      </c>
      <c r="O25" s="29">
        <v>1.712</v>
      </c>
    </row>
    <row r="26" spans="1:15" x14ac:dyDescent="0.2">
      <c r="A26" s="30">
        <v>20</v>
      </c>
      <c r="B26" s="26">
        <v>258.8</v>
      </c>
      <c r="C26" s="27">
        <v>227.5</v>
      </c>
      <c r="D26" s="28">
        <v>939.5</v>
      </c>
      <c r="E26" s="28">
        <v>1167</v>
      </c>
      <c r="F26" s="22">
        <v>1.7080000000000001E-2</v>
      </c>
      <c r="G26" s="32">
        <v>11.99</v>
      </c>
      <c r="H26" s="24"/>
      <c r="I26" s="25">
        <v>260</v>
      </c>
      <c r="J26" s="26">
        <v>409.4</v>
      </c>
      <c r="K26" s="27">
        <v>385.3</v>
      </c>
      <c r="L26" s="28">
        <v>816.8</v>
      </c>
      <c r="M26" s="28">
        <v>1202.0999999999999</v>
      </c>
      <c r="N26" s="22">
        <v>1.8780000000000002E-2</v>
      </c>
      <c r="O26" s="29">
        <v>1.6819999999999999</v>
      </c>
    </row>
    <row r="27" spans="1:15" x14ac:dyDescent="0.2">
      <c r="A27" s="30">
        <v>22</v>
      </c>
      <c r="B27" s="26">
        <v>262.10000000000002</v>
      </c>
      <c r="C27" s="27">
        <v>230.9</v>
      </c>
      <c r="D27" s="28">
        <v>937.2</v>
      </c>
      <c r="E27" s="28">
        <v>1168.0999999999999</v>
      </c>
      <c r="F27" s="22">
        <v>1.711E-2</v>
      </c>
      <c r="G27" s="32">
        <v>11.38</v>
      </c>
      <c r="H27" s="24"/>
      <c r="I27" s="25">
        <v>265</v>
      </c>
      <c r="J27" s="26">
        <v>411</v>
      </c>
      <c r="K27" s="27">
        <v>387</v>
      </c>
      <c r="L27" s="28">
        <v>815.2</v>
      </c>
      <c r="M27" s="28">
        <v>1202.2</v>
      </c>
      <c r="N27" s="22">
        <v>1.8800000000000001E-2</v>
      </c>
      <c r="O27" s="29">
        <v>1.6519999999999999</v>
      </c>
    </row>
    <row r="28" spans="1:15" x14ac:dyDescent="0.2">
      <c r="A28" s="30">
        <v>24</v>
      </c>
      <c r="B28" s="26">
        <v>265.3</v>
      </c>
      <c r="C28" s="27">
        <v>234.1</v>
      </c>
      <c r="D28" s="28">
        <v>935</v>
      </c>
      <c r="E28" s="28">
        <v>1169.2</v>
      </c>
      <c r="F28" s="22">
        <v>1.7129999999999999E-2</v>
      </c>
      <c r="G28" s="32">
        <v>10.83</v>
      </c>
      <c r="H28" s="24"/>
      <c r="I28" s="25">
        <v>270</v>
      </c>
      <c r="J28" s="26">
        <v>412.6</v>
      </c>
      <c r="K28" s="27">
        <v>388.8</v>
      </c>
      <c r="L28" s="28">
        <v>813.7</v>
      </c>
      <c r="M28" s="28">
        <v>1202.5</v>
      </c>
      <c r="N28" s="22">
        <v>1.882E-2</v>
      </c>
      <c r="O28" s="29">
        <v>1.6240000000000001</v>
      </c>
    </row>
    <row r="29" spans="1:15" x14ac:dyDescent="0.2">
      <c r="A29" s="30">
        <v>25</v>
      </c>
      <c r="B29" s="26">
        <v>266.8</v>
      </c>
      <c r="C29" s="27">
        <v>235.7</v>
      </c>
      <c r="D29" s="28">
        <v>933.9</v>
      </c>
      <c r="E29" s="28">
        <v>1169.5999999999999</v>
      </c>
      <c r="F29" s="22">
        <v>1.7149999999999999E-2</v>
      </c>
      <c r="G29" s="32">
        <v>10.57</v>
      </c>
      <c r="H29" s="24"/>
      <c r="I29" s="25">
        <v>275</v>
      </c>
      <c r="J29" s="26">
        <v>414.2</v>
      </c>
      <c r="K29" s="27">
        <v>390.5</v>
      </c>
      <c r="L29" s="28">
        <v>812.1</v>
      </c>
      <c r="M29" s="28">
        <v>1202.5999999999999</v>
      </c>
      <c r="N29" s="22">
        <v>1.8849999999999999E-2</v>
      </c>
      <c r="O29" s="29">
        <v>1.5960000000000001</v>
      </c>
    </row>
    <row r="30" spans="1:15" x14ac:dyDescent="0.2">
      <c r="A30" s="30">
        <v>26</v>
      </c>
      <c r="B30" s="26">
        <v>268.3</v>
      </c>
      <c r="C30" s="27">
        <v>237.2</v>
      </c>
      <c r="D30" s="28">
        <v>932.9</v>
      </c>
      <c r="E30" s="28">
        <v>1170.0999999999999</v>
      </c>
      <c r="F30" s="22">
        <v>1.7160000000000002E-2</v>
      </c>
      <c r="G30" s="32">
        <v>10.33</v>
      </c>
      <c r="H30" s="24"/>
      <c r="I30" s="25">
        <v>280</v>
      </c>
      <c r="J30" s="26">
        <v>415.7</v>
      </c>
      <c r="K30" s="27">
        <v>392.2</v>
      </c>
      <c r="L30" s="28">
        <v>810.5</v>
      </c>
      <c r="M30" s="28">
        <v>1202.7</v>
      </c>
      <c r="N30" s="22">
        <v>1.8870000000000001E-2</v>
      </c>
      <c r="O30" s="29">
        <v>1.57</v>
      </c>
    </row>
    <row r="31" spans="1:15" ht="13.5" thickBot="1" x14ac:dyDescent="0.25">
      <c r="A31" s="33">
        <v>28</v>
      </c>
      <c r="B31" s="34">
        <v>271.2</v>
      </c>
      <c r="C31" s="35">
        <v>240.2</v>
      </c>
      <c r="D31" s="36">
        <v>930.8</v>
      </c>
      <c r="E31" s="36">
        <v>1171</v>
      </c>
      <c r="F31" s="37">
        <v>1.719E-2</v>
      </c>
      <c r="G31" s="42">
        <v>9.8740000000000006</v>
      </c>
      <c r="H31" s="24"/>
      <c r="I31" s="25">
        <v>285</v>
      </c>
      <c r="J31" s="26">
        <v>417.3</v>
      </c>
      <c r="K31" s="27">
        <v>393.9</v>
      </c>
      <c r="L31" s="28">
        <v>809</v>
      </c>
      <c r="M31" s="28">
        <v>1202.9000000000001</v>
      </c>
      <c r="N31" s="22">
        <v>1.8890000000000001E-2</v>
      </c>
      <c r="O31" s="29">
        <v>1.544</v>
      </c>
    </row>
    <row r="32" spans="1:15" x14ac:dyDescent="0.2">
      <c r="A32" s="30">
        <v>30</v>
      </c>
      <c r="B32" s="26">
        <v>274</v>
      </c>
      <c r="C32" s="27">
        <v>243.1</v>
      </c>
      <c r="D32" s="28">
        <v>928.9</v>
      </c>
      <c r="E32" s="28">
        <v>1172</v>
      </c>
      <c r="F32" s="22">
        <v>1.721E-2</v>
      </c>
      <c r="G32" s="43">
        <v>9.4589999999999996</v>
      </c>
      <c r="H32" s="24"/>
      <c r="I32" s="25">
        <v>290</v>
      </c>
      <c r="J32" s="26">
        <v>418.8</v>
      </c>
      <c r="K32" s="27">
        <v>395.5</v>
      </c>
      <c r="L32" s="28">
        <v>807.5</v>
      </c>
      <c r="M32" s="28">
        <v>1203</v>
      </c>
      <c r="N32" s="22">
        <v>1.891E-2</v>
      </c>
      <c r="O32" s="29">
        <v>1.52</v>
      </c>
    </row>
    <row r="33" spans="1:15" ht="13.5" thickBot="1" x14ac:dyDescent="0.25">
      <c r="A33" s="30">
        <v>32</v>
      </c>
      <c r="B33" s="26">
        <v>276.7</v>
      </c>
      <c r="C33" s="27">
        <v>245.8</v>
      </c>
      <c r="D33" s="28">
        <v>926.9</v>
      </c>
      <c r="E33" s="28">
        <v>1172.7</v>
      </c>
      <c r="F33" s="22">
        <v>1.7229999999999999E-2</v>
      </c>
      <c r="G33" s="43">
        <v>9.0779999999999994</v>
      </c>
      <c r="H33" s="24"/>
      <c r="I33" s="40">
        <v>295</v>
      </c>
      <c r="J33" s="34">
        <v>420.2</v>
      </c>
      <c r="K33" s="35">
        <v>397.2</v>
      </c>
      <c r="L33" s="36">
        <v>806</v>
      </c>
      <c r="M33" s="36">
        <v>1203.0999999999999</v>
      </c>
      <c r="N33" s="37">
        <v>1.8939999999999999E-2</v>
      </c>
      <c r="O33" s="41">
        <v>1.4970000000000001</v>
      </c>
    </row>
    <row r="34" spans="1:15" x14ac:dyDescent="0.2">
      <c r="A34" s="30">
        <v>34</v>
      </c>
      <c r="B34" s="26">
        <v>279.39999999999998</v>
      </c>
      <c r="C34" s="27">
        <v>248.5</v>
      </c>
      <c r="D34" s="28">
        <v>925.1</v>
      </c>
      <c r="E34" s="28">
        <v>1173.5999999999999</v>
      </c>
      <c r="F34" s="22">
        <v>1.7260000000000001E-2</v>
      </c>
      <c r="G34" s="43">
        <v>8.7279999999999998</v>
      </c>
      <c r="H34" s="24"/>
      <c r="I34" s="25">
        <v>300</v>
      </c>
      <c r="J34" s="26">
        <v>421.7</v>
      </c>
      <c r="K34" s="27">
        <v>398.8</v>
      </c>
      <c r="L34" s="28">
        <v>804.5</v>
      </c>
      <c r="M34" s="28">
        <v>1203.3</v>
      </c>
      <c r="N34" s="22">
        <v>1.8960000000000001E-2</v>
      </c>
      <c r="O34" s="29">
        <v>1.4730000000000001</v>
      </c>
    </row>
    <row r="35" spans="1:15" x14ac:dyDescent="0.2">
      <c r="A35" s="30">
        <v>35</v>
      </c>
      <c r="B35" s="26">
        <v>280.60000000000002</v>
      </c>
      <c r="C35" s="27">
        <v>249.8</v>
      </c>
      <c r="D35" s="28">
        <v>924.2</v>
      </c>
      <c r="E35" s="28">
        <v>1174</v>
      </c>
      <c r="F35" s="22">
        <v>1.7270000000000001E-2</v>
      </c>
      <c r="G35" s="43">
        <v>8.5630000000000006</v>
      </c>
      <c r="H35" s="24"/>
      <c r="I35" s="25">
        <v>310</v>
      </c>
      <c r="J35" s="26">
        <v>424.6</v>
      </c>
      <c r="K35" s="27">
        <v>402</v>
      </c>
      <c r="L35" s="28">
        <v>801.5</v>
      </c>
      <c r="M35" s="28">
        <v>1203.5</v>
      </c>
      <c r="N35" s="22">
        <v>1.9009999999999999E-2</v>
      </c>
      <c r="O35" s="29">
        <v>1.4279999999999999</v>
      </c>
    </row>
    <row r="36" spans="1:15" x14ac:dyDescent="0.2">
      <c r="A36" s="30">
        <v>36</v>
      </c>
      <c r="B36" s="26">
        <v>281.89999999999998</v>
      </c>
      <c r="C36" s="27">
        <v>251.1</v>
      </c>
      <c r="D36" s="28">
        <v>923.3</v>
      </c>
      <c r="E36" s="28">
        <v>1174.4000000000001</v>
      </c>
      <c r="F36" s="22">
        <v>1.728E-2</v>
      </c>
      <c r="G36" s="43">
        <v>8.4039999999999999</v>
      </c>
      <c r="H36" s="24"/>
      <c r="I36" s="25">
        <v>320</v>
      </c>
      <c r="J36" s="26">
        <v>427.5</v>
      </c>
      <c r="K36" s="27">
        <v>405.1</v>
      </c>
      <c r="L36" s="28">
        <v>798.6</v>
      </c>
      <c r="M36" s="28">
        <v>1203.7</v>
      </c>
      <c r="N36" s="22">
        <v>1.9060000000000001E-2</v>
      </c>
      <c r="O36" s="29">
        <v>1.3859999999999999</v>
      </c>
    </row>
    <row r="37" spans="1:15" ht="13.5" thickBot="1" x14ac:dyDescent="0.25">
      <c r="A37" s="33">
        <v>38</v>
      </c>
      <c r="B37" s="34">
        <v>284.3</v>
      </c>
      <c r="C37" s="35">
        <v>253.6</v>
      </c>
      <c r="D37" s="36">
        <v>921.5</v>
      </c>
      <c r="E37" s="36">
        <v>1175.0999999999999</v>
      </c>
      <c r="F37" s="37">
        <v>1.7299999999999999E-2</v>
      </c>
      <c r="G37" s="42">
        <v>8.1039999999999992</v>
      </c>
      <c r="H37" s="24"/>
      <c r="I37" s="25">
        <v>330</v>
      </c>
      <c r="J37" s="26">
        <v>430.3</v>
      </c>
      <c r="K37" s="27">
        <v>408.2</v>
      </c>
      <c r="L37" s="28">
        <v>795.7</v>
      </c>
      <c r="M37" s="28">
        <v>1203.9000000000001</v>
      </c>
      <c r="N37" s="22">
        <v>1.9099999999999999E-2</v>
      </c>
      <c r="O37" s="29">
        <v>1.3460000000000001</v>
      </c>
    </row>
    <row r="38" spans="1:15" ht="13.5" thickBot="1" x14ac:dyDescent="0.25">
      <c r="A38" s="30">
        <v>40</v>
      </c>
      <c r="B38" s="26">
        <v>286.7</v>
      </c>
      <c r="C38" s="27">
        <v>256</v>
      </c>
      <c r="D38" s="28">
        <v>919.8</v>
      </c>
      <c r="E38" s="28">
        <v>1175.8</v>
      </c>
      <c r="F38" s="22">
        <v>1.7330000000000002E-2</v>
      </c>
      <c r="G38" s="43">
        <v>7.8259999999999996</v>
      </c>
      <c r="H38" s="24"/>
      <c r="I38" s="40">
        <v>340</v>
      </c>
      <c r="J38" s="34">
        <v>433</v>
      </c>
      <c r="K38" s="35">
        <v>411.2</v>
      </c>
      <c r="L38" s="36">
        <v>792.8</v>
      </c>
      <c r="M38" s="36">
        <v>1204</v>
      </c>
      <c r="N38" s="37">
        <v>1.915E-2</v>
      </c>
      <c r="O38" s="41">
        <v>1.3089999999999999</v>
      </c>
    </row>
    <row r="39" spans="1:15" x14ac:dyDescent="0.2">
      <c r="A39" s="30">
        <v>42</v>
      </c>
      <c r="B39" s="26">
        <v>289</v>
      </c>
      <c r="C39" s="27">
        <v>258.39999999999998</v>
      </c>
      <c r="D39" s="28">
        <v>918.1</v>
      </c>
      <c r="E39" s="28">
        <v>1176.5</v>
      </c>
      <c r="F39" s="22">
        <v>1.7350000000000001E-2</v>
      </c>
      <c r="G39" s="43">
        <v>7.5659999999999998</v>
      </c>
      <c r="H39" s="24"/>
      <c r="I39" s="25">
        <v>350</v>
      </c>
      <c r="J39" s="26">
        <v>435.6</v>
      </c>
      <c r="K39" s="27">
        <v>414.2</v>
      </c>
      <c r="L39" s="28">
        <v>790</v>
      </c>
      <c r="M39" s="28">
        <v>1204.2</v>
      </c>
      <c r="N39" s="22">
        <v>1.9189999999999999E-2</v>
      </c>
      <c r="O39" s="29">
        <v>1.2729999999999999</v>
      </c>
    </row>
    <row r="40" spans="1:15" x14ac:dyDescent="0.2">
      <c r="A40" s="30">
        <v>44</v>
      </c>
      <c r="B40" s="26">
        <v>291.3</v>
      </c>
      <c r="C40" s="27">
        <v>260.7</v>
      </c>
      <c r="D40" s="28">
        <v>916.4</v>
      </c>
      <c r="E40" s="28">
        <v>1177.2</v>
      </c>
      <c r="F40" s="22">
        <v>1.737E-2</v>
      </c>
      <c r="G40" s="43">
        <v>7.3230000000000004</v>
      </c>
      <c r="H40" s="24"/>
      <c r="I40" s="25">
        <v>360</v>
      </c>
      <c r="J40" s="26">
        <v>438.2</v>
      </c>
      <c r="K40" s="27">
        <v>417.1</v>
      </c>
      <c r="L40" s="28">
        <v>787.3</v>
      </c>
      <c r="M40" s="28">
        <v>1204.3</v>
      </c>
      <c r="N40" s="22">
        <v>1.9230000000000001E-2</v>
      </c>
      <c r="O40" s="29">
        <v>1.24</v>
      </c>
    </row>
    <row r="41" spans="1:15" x14ac:dyDescent="0.2">
      <c r="A41" s="30">
        <v>45</v>
      </c>
      <c r="B41" s="26">
        <v>292.39999999999998</v>
      </c>
      <c r="C41" s="27">
        <v>261.89999999999998</v>
      </c>
      <c r="D41" s="28">
        <v>915.6</v>
      </c>
      <c r="E41" s="28">
        <v>1177.5</v>
      </c>
      <c r="F41" s="22">
        <v>1.738E-2</v>
      </c>
      <c r="G41" s="43">
        <v>7.2080000000000002</v>
      </c>
      <c r="H41" s="24"/>
      <c r="I41" s="25">
        <v>370</v>
      </c>
      <c r="J41" s="26">
        <v>440.8</v>
      </c>
      <c r="K41" s="27">
        <v>419.9</v>
      </c>
      <c r="L41" s="28">
        <v>784.5</v>
      </c>
      <c r="M41" s="28">
        <v>1204.4000000000001</v>
      </c>
      <c r="N41" s="22">
        <v>1.9269999999999999E-2</v>
      </c>
      <c r="O41" s="29">
        <v>1.2070000000000001</v>
      </c>
    </row>
    <row r="42" spans="1:15" x14ac:dyDescent="0.2">
      <c r="A42" s="30">
        <v>46</v>
      </c>
      <c r="B42" s="26">
        <v>293.5</v>
      </c>
      <c r="C42" s="27">
        <v>263</v>
      </c>
      <c r="D42" s="28">
        <v>914.8</v>
      </c>
      <c r="E42" s="28">
        <v>1177.8</v>
      </c>
      <c r="F42" s="22">
        <v>1.7389999999999999E-2</v>
      </c>
      <c r="G42" s="43">
        <v>7.0960000000000001</v>
      </c>
      <c r="H42" s="24"/>
      <c r="I42" s="25">
        <v>380</v>
      </c>
      <c r="J42" s="26">
        <v>443.3</v>
      </c>
      <c r="K42" s="27">
        <v>422.7</v>
      </c>
      <c r="L42" s="28">
        <v>781.8</v>
      </c>
      <c r="M42" s="28">
        <v>1204.5</v>
      </c>
      <c r="N42" s="22">
        <v>1.932E-2</v>
      </c>
      <c r="O42" s="29">
        <v>1.177</v>
      </c>
    </row>
    <row r="43" spans="1:15" ht="13.5" thickBot="1" x14ac:dyDescent="0.25">
      <c r="A43" s="33">
        <v>48</v>
      </c>
      <c r="B43" s="34">
        <v>295.60000000000002</v>
      </c>
      <c r="C43" s="35">
        <v>265.2</v>
      </c>
      <c r="D43" s="36">
        <v>913.2</v>
      </c>
      <c r="E43" s="36">
        <v>1178.4000000000001</v>
      </c>
      <c r="F43" s="37">
        <v>1.7409999999999998E-2</v>
      </c>
      <c r="G43" s="42">
        <v>6.883</v>
      </c>
      <c r="H43" s="24"/>
      <c r="I43" s="40">
        <v>390</v>
      </c>
      <c r="J43" s="34">
        <v>445.7</v>
      </c>
      <c r="K43" s="35">
        <v>425.5</v>
      </c>
      <c r="L43" s="36">
        <v>779.2</v>
      </c>
      <c r="M43" s="36">
        <v>1204.5999999999999</v>
      </c>
      <c r="N43" s="37">
        <v>1.9359999999999999E-2</v>
      </c>
      <c r="O43" s="41">
        <v>1.1479999999999999</v>
      </c>
    </row>
    <row r="44" spans="1:15" x14ac:dyDescent="0.2">
      <c r="A44" s="30">
        <v>50</v>
      </c>
      <c r="B44" s="26">
        <v>297.7</v>
      </c>
      <c r="C44" s="27">
        <v>267.3</v>
      </c>
      <c r="D44" s="28">
        <v>911.7</v>
      </c>
      <c r="E44" s="28">
        <v>1179</v>
      </c>
      <c r="F44" s="22">
        <v>1.7430000000000001E-2</v>
      </c>
      <c r="G44" s="43">
        <v>6.6829999999999998</v>
      </c>
      <c r="H44" s="24"/>
      <c r="I44" s="25">
        <v>400</v>
      </c>
      <c r="J44" s="26">
        <v>448.1</v>
      </c>
      <c r="K44" s="27">
        <v>428.2</v>
      </c>
      <c r="L44" s="28">
        <v>776.6</v>
      </c>
      <c r="M44" s="28">
        <v>1204.7</v>
      </c>
      <c r="N44" s="22">
        <v>1.9400000000000001E-2</v>
      </c>
      <c r="O44" s="29">
        <v>1.1200000000000001</v>
      </c>
    </row>
    <row r="45" spans="1:15" ht="13.5" thickBot="1" x14ac:dyDescent="0.25">
      <c r="A45" s="33">
        <v>55</v>
      </c>
      <c r="B45" s="34">
        <v>302.60000000000002</v>
      </c>
      <c r="C45" s="35">
        <v>272.39999999999998</v>
      </c>
      <c r="D45" s="36">
        <v>908</v>
      </c>
      <c r="E45" s="36">
        <v>1180.4000000000001</v>
      </c>
      <c r="F45" s="37">
        <v>1.7479999999999999E-2</v>
      </c>
      <c r="G45" s="42">
        <v>6.23</v>
      </c>
      <c r="H45" s="24"/>
      <c r="I45" s="40">
        <v>450</v>
      </c>
      <c r="J45" s="34">
        <v>459.5</v>
      </c>
      <c r="K45" s="35">
        <v>441</v>
      </c>
      <c r="L45" s="36">
        <v>763.8</v>
      </c>
      <c r="M45" s="36">
        <v>1204.8</v>
      </c>
      <c r="N45" s="37">
        <v>1.9609999999999999E-2</v>
      </c>
      <c r="O45" s="44">
        <v>0.99919999999999998</v>
      </c>
    </row>
    <row r="46" spans="1:15" x14ac:dyDescent="0.2">
      <c r="A46" s="30">
        <v>60</v>
      </c>
      <c r="B46" s="26">
        <v>307.3</v>
      </c>
      <c r="C46" s="27">
        <v>277.3</v>
      </c>
      <c r="D46" s="28">
        <v>904.5</v>
      </c>
      <c r="E46" s="28">
        <v>1181.8</v>
      </c>
      <c r="F46" s="22">
        <v>1.753E-2</v>
      </c>
      <c r="G46" s="43">
        <v>5.8369999999999997</v>
      </c>
      <c r="H46" s="24"/>
      <c r="I46" s="25">
        <v>500</v>
      </c>
      <c r="J46" s="26">
        <v>470</v>
      </c>
      <c r="K46" s="27">
        <v>453</v>
      </c>
      <c r="L46" s="28">
        <v>751.6</v>
      </c>
      <c r="M46" s="28">
        <v>1204.5999999999999</v>
      </c>
      <c r="N46" s="22">
        <v>1.9800000000000002E-2</v>
      </c>
      <c r="O46" s="45">
        <v>0.90100000000000002</v>
      </c>
    </row>
    <row r="47" spans="1:15" ht="13.5" thickBot="1" x14ac:dyDescent="0.25">
      <c r="A47" s="33">
        <v>65</v>
      </c>
      <c r="B47" s="34">
        <v>311.8</v>
      </c>
      <c r="C47" s="35">
        <v>281.89999999999998</v>
      </c>
      <c r="D47" s="36">
        <v>901.1</v>
      </c>
      <c r="E47" s="36">
        <v>1183</v>
      </c>
      <c r="F47" s="37">
        <v>1.7569999999999999E-2</v>
      </c>
      <c r="G47" s="42">
        <v>5.4909999999999997</v>
      </c>
      <c r="H47" s="24"/>
      <c r="I47" s="40">
        <v>550</v>
      </c>
      <c r="J47" s="34">
        <v>479.7</v>
      </c>
      <c r="K47" s="35">
        <v>464.1</v>
      </c>
      <c r="L47" s="36">
        <v>739.9</v>
      </c>
      <c r="M47" s="36">
        <v>1204.0999999999999</v>
      </c>
      <c r="N47" s="37">
        <v>0.02</v>
      </c>
      <c r="O47" s="44">
        <v>0.81950000000000001</v>
      </c>
    </row>
    <row r="48" spans="1:15" x14ac:dyDescent="0.2">
      <c r="A48" s="30">
        <v>70</v>
      </c>
      <c r="B48" s="26">
        <v>316</v>
      </c>
      <c r="C48" s="27">
        <v>286.3</v>
      </c>
      <c r="D48" s="28">
        <v>897.9</v>
      </c>
      <c r="E48" s="28">
        <v>1184.0999999999999</v>
      </c>
      <c r="F48" s="22">
        <v>1.7610000000000001E-2</v>
      </c>
      <c r="G48" s="43">
        <v>5.1840000000000002</v>
      </c>
      <c r="H48" s="24"/>
      <c r="I48" s="25">
        <v>600</v>
      </c>
      <c r="J48" s="26">
        <v>488.8</v>
      </c>
      <c r="K48" s="27">
        <v>474.7</v>
      </c>
      <c r="L48" s="28">
        <v>728.7</v>
      </c>
      <c r="M48" s="28">
        <v>1203.4000000000001</v>
      </c>
      <c r="N48" s="22">
        <v>2.019E-2</v>
      </c>
      <c r="O48" s="45">
        <v>0.75090000000000001</v>
      </c>
    </row>
    <row r="49" spans="1:15" ht="13.5" thickBot="1" x14ac:dyDescent="0.25">
      <c r="A49" s="33">
        <v>75</v>
      </c>
      <c r="B49" s="34">
        <v>320</v>
      </c>
      <c r="C49" s="35">
        <v>290.5</v>
      </c>
      <c r="D49" s="36">
        <v>894.8</v>
      </c>
      <c r="E49" s="36">
        <v>1185.2</v>
      </c>
      <c r="F49" s="37">
        <v>1.7659999999999999E-2</v>
      </c>
      <c r="G49" s="42">
        <v>4.9109999999999996</v>
      </c>
      <c r="H49" s="24"/>
      <c r="I49" s="40">
        <v>650</v>
      </c>
      <c r="J49" s="34">
        <v>497.3</v>
      </c>
      <c r="K49" s="35">
        <v>484.8</v>
      </c>
      <c r="L49" s="36">
        <v>717.8</v>
      </c>
      <c r="M49" s="36">
        <v>1202.5999999999999</v>
      </c>
      <c r="N49" s="37">
        <v>2.0379999999999999E-2</v>
      </c>
      <c r="O49" s="44">
        <v>0.69220000000000004</v>
      </c>
    </row>
    <row r="50" spans="1:15" x14ac:dyDescent="0.2">
      <c r="A50" s="30">
        <v>80</v>
      </c>
      <c r="B50" s="26">
        <v>323.89999999999998</v>
      </c>
      <c r="C50" s="27">
        <v>294.5</v>
      </c>
      <c r="D50" s="28">
        <v>891.7</v>
      </c>
      <c r="E50" s="28">
        <v>1186.0999999999999</v>
      </c>
      <c r="F50" s="22">
        <v>1.77E-2</v>
      </c>
      <c r="G50" s="43">
        <v>4.665</v>
      </c>
      <c r="H50" s="24"/>
      <c r="I50" s="25">
        <v>700</v>
      </c>
      <c r="J50" s="26">
        <v>505.4</v>
      </c>
      <c r="K50" s="27">
        <v>494.4</v>
      </c>
      <c r="L50" s="28">
        <v>707.1</v>
      </c>
      <c r="M50" s="28">
        <v>1201.5</v>
      </c>
      <c r="N50" s="22">
        <v>2.0559999999999998E-2</v>
      </c>
      <c r="O50" s="45">
        <v>0.64149999999999996</v>
      </c>
    </row>
    <row r="51" spans="1:15" ht="13.5" thickBot="1" x14ac:dyDescent="0.25">
      <c r="A51" s="33">
        <v>85</v>
      </c>
      <c r="B51" s="34">
        <v>327.60000000000002</v>
      </c>
      <c r="C51" s="35">
        <v>298.3</v>
      </c>
      <c r="D51" s="36">
        <v>888.8</v>
      </c>
      <c r="E51" s="36">
        <v>1187.0999999999999</v>
      </c>
      <c r="F51" s="37">
        <v>1.7739999999999999E-2</v>
      </c>
      <c r="G51" s="42">
        <v>4.444</v>
      </c>
      <c r="H51" s="24"/>
      <c r="I51" s="40">
        <v>750</v>
      </c>
      <c r="J51" s="34">
        <v>513</v>
      </c>
      <c r="K51" s="35">
        <v>503.5</v>
      </c>
      <c r="L51" s="36">
        <v>696.7</v>
      </c>
      <c r="M51" s="36">
        <v>1200.3</v>
      </c>
      <c r="N51" s="37">
        <v>2.0740000000000001E-2</v>
      </c>
      <c r="O51" s="44">
        <v>0.59709999999999996</v>
      </c>
    </row>
    <row r="52" spans="1:15" ht="13.5" thickBot="1" x14ac:dyDescent="0.25">
      <c r="A52" s="30">
        <v>90</v>
      </c>
      <c r="B52" s="26">
        <v>331.2</v>
      </c>
      <c r="C52" s="27">
        <v>302</v>
      </c>
      <c r="D52" s="28">
        <v>886</v>
      </c>
      <c r="E52" s="28">
        <v>1188</v>
      </c>
      <c r="F52" s="22">
        <v>1.7780000000000001E-2</v>
      </c>
      <c r="G52" s="43">
        <v>4.242</v>
      </c>
      <c r="H52" s="24"/>
      <c r="I52" s="40">
        <v>800</v>
      </c>
      <c r="J52" s="34">
        <v>520.29999999999995</v>
      </c>
      <c r="K52" s="35">
        <v>512.4</v>
      </c>
      <c r="L52" s="36">
        <v>686.6</v>
      </c>
      <c r="M52" s="36">
        <v>1199</v>
      </c>
      <c r="N52" s="37">
        <v>2.0920000000000001E-2</v>
      </c>
      <c r="O52" s="44">
        <v>0.55800000000000005</v>
      </c>
    </row>
    <row r="53" spans="1:15" ht="13.5" thickBot="1" x14ac:dyDescent="0.25">
      <c r="A53" s="33">
        <v>95</v>
      </c>
      <c r="B53" s="34">
        <v>334.6</v>
      </c>
      <c r="C53" s="35">
        <v>305.60000000000002</v>
      </c>
      <c r="D53" s="36">
        <v>883.3</v>
      </c>
      <c r="E53" s="36">
        <v>1188.8</v>
      </c>
      <c r="F53" s="37">
        <v>1.7819999999999999E-2</v>
      </c>
      <c r="G53" s="42">
        <v>4.0590000000000002</v>
      </c>
      <c r="H53" s="24"/>
      <c r="I53" s="40">
        <v>900</v>
      </c>
      <c r="J53" s="34">
        <v>533.9</v>
      </c>
      <c r="K53" s="35">
        <v>529.1</v>
      </c>
      <c r="L53" s="36">
        <v>666.8</v>
      </c>
      <c r="M53" s="36">
        <v>1196</v>
      </c>
      <c r="N53" s="37">
        <v>2.128E-2</v>
      </c>
      <c r="O53" s="44">
        <v>0.49220000000000003</v>
      </c>
    </row>
    <row r="54" spans="1:15" x14ac:dyDescent="0.2">
      <c r="A54" s="30">
        <v>100</v>
      </c>
      <c r="B54" s="26">
        <v>337.9</v>
      </c>
      <c r="C54" s="27">
        <v>309.10000000000002</v>
      </c>
      <c r="D54" s="28">
        <v>880.6</v>
      </c>
      <c r="E54" s="28">
        <v>1189.5999999999999</v>
      </c>
      <c r="F54" s="22">
        <v>1.7850000000000001E-2</v>
      </c>
      <c r="G54" s="43">
        <v>3.891</v>
      </c>
      <c r="H54" s="24"/>
      <c r="I54" s="25">
        <v>1000</v>
      </c>
      <c r="J54" s="26">
        <v>546.29999999999995</v>
      </c>
      <c r="K54" s="27">
        <v>544.79999999999995</v>
      </c>
      <c r="L54" s="28">
        <v>647.6</v>
      </c>
      <c r="M54" s="28">
        <v>1192.4000000000001</v>
      </c>
      <c r="N54" s="22">
        <v>2.164E-2</v>
      </c>
      <c r="O54" s="45">
        <v>0.439</v>
      </c>
    </row>
    <row r="55" spans="1:15" ht="13.5" thickBot="1" x14ac:dyDescent="0.25">
      <c r="A55" s="33">
        <v>105</v>
      </c>
      <c r="B55" s="34">
        <v>341.1</v>
      </c>
      <c r="C55" s="35">
        <v>312.39999999999998</v>
      </c>
      <c r="D55" s="36">
        <v>878</v>
      </c>
      <c r="E55" s="36">
        <v>1190.3</v>
      </c>
      <c r="F55" s="37">
        <v>1.789E-2</v>
      </c>
      <c r="G55" s="42">
        <v>3.7360000000000002</v>
      </c>
      <c r="H55" s="24"/>
      <c r="I55" s="25">
        <v>1250</v>
      </c>
      <c r="J55" s="26">
        <v>573.9</v>
      </c>
      <c r="K55" s="27">
        <v>580.79999999999995</v>
      </c>
      <c r="L55" s="28">
        <v>601.1</v>
      </c>
      <c r="M55" s="28">
        <v>1181.9000000000001</v>
      </c>
      <c r="N55" s="22">
        <v>2.256E-2</v>
      </c>
      <c r="O55" s="45">
        <v>0.34100000000000003</v>
      </c>
    </row>
    <row r="56" spans="1:15" x14ac:dyDescent="0.2">
      <c r="A56" s="30">
        <v>110</v>
      </c>
      <c r="B56" s="26">
        <v>344.2</v>
      </c>
      <c r="C56" s="27">
        <v>315.60000000000002</v>
      </c>
      <c r="D56" s="28">
        <v>875.5</v>
      </c>
      <c r="E56" s="28">
        <v>1191.0999999999999</v>
      </c>
      <c r="F56" s="22">
        <v>1.7919999999999998E-2</v>
      </c>
      <c r="G56" s="43">
        <v>3.5939999999999999</v>
      </c>
      <c r="H56" s="24"/>
      <c r="I56" s="25">
        <v>1500</v>
      </c>
      <c r="J56" s="26">
        <v>597.5</v>
      </c>
      <c r="K56" s="27">
        <v>613.5</v>
      </c>
      <c r="L56" s="28">
        <v>555.70000000000005</v>
      </c>
      <c r="M56" s="28">
        <v>1169.3</v>
      </c>
      <c r="N56" s="22">
        <v>2.3519999999999999E-2</v>
      </c>
      <c r="O56" s="45">
        <v>0.27400000000000002</v>
      </c>
    </row>
    <row r="57" spans="1:15" ht="13.5" thickBot="1" x14ac:dyDescent="0.25">
      <c r="A57" s="33">
        <v>115</v>
      </c>
      <c r="B57" s="34">
        <v>347.2</v>
      </c>
      <c r="C57" s="35">
        <v>318.8</v>
      </c>
      <c r="D57" s="36">
        <v>873</v>
      </c>
      <c r="E57" s="36">
        <v>1191.7</v>
      </c>
      <c r="F57" s="37">
        <v>1.796E-2</v>
      </c>
      <c r="G57" s="42">
        <v>3.4620000000000002</v>
      </c>
      <c r="H57" s="24"/>
      <c r="I57" s="40">
        <v>1750</v>
      </c>
      <c r="J57" s="34">
        <v>618.20000000000005</v>
      </c>
      <c r="K57" s="35">
        <v>644.29999999999995</v>
      </c>
      <c r="L57" s="36">
        <v>510.3</v>
      </c>
      <c r="M57" s="36">
        <v>1154.5999999999999</v>
      </c>
      <c r="N57" s="37">
        <v>2.4559999999999998E-2</v>
      </c>
      <c r="O57" s="44">
        <v>0.2248</v>
      </c>
    </row>
    <row r="58" spans="1:15" x14ac:dyDescent="0.2">
      <c r="A58" s="30">
        <v>120</v>
      </c>
      <c r="B58" s="26">
        <v>350.1</v>
      </c>
      <c r="C58" s="27">
        <v>321.8</v>
      </c>
      <c r="D58" s="28">
        <v>870.5</v>
      </c>
      <c r="E58" s="28">
        <v>1192.3</v>
      </c>
      <c r="F58" s="22">
        <v>1.7989999999999999E-2</v>
      </c>
      <c r="G58" s="43">
        <v>3.34</v>
      </c>
      <c r="H58" s="24"/>
      <c r="I58" s="25">
        <v>2000</v>
      </c>
      <c r="J58" s="26">
        <v>636.79999999999995</v>
      </c>
      <c r="K58" s="27">
        <v>673.8</v>
      </c>
      <c r="L58" s="28">
        <v>463.3</v>
      </c>
      <c r="M58" s="28">
        <v>1137.2</v>
      </c>
      <c r="N58" s="22">
        <v>2.572E-2</v>
      </c>
      <c r="O58" s="45">
        <v>0.18640000000000001</v>
      </c>
    </row>
    <row r="59" spans="1:15" ht="13.5" thickBot="1" x14ac:dyDescent="0.25">
      <c r="A59" s="33">
        <v>125</v>
      </c>
      <c r="B59" s="34">
        <v>352.9</v>
      </c>
      <c r="C59" s="35">
        <v>324.8</v>
      </c>
      <c r="D59" s="36">
        <v>868.2</v>
      </c>
      <c r="E59" s="36">
        <v>1193</v>
      </c>
      <c r="F59" s="37">
        <v>1.8030000000000001E-2</v>
      </c>
      <c r="G59" s="42">
        <v>3.226</v>
      </c>
      <c r="H59" s="24"/>
      <c r="I59" s="25">
        <v>2250</v>
      </c>
      <c r="J59" s="26">
        <v>653.6</v>
      </c>
      <c r="K59" s="27">
        <v>703.1</v>
      </c>
      <c r="L59" s="28">
        <v>413.3</v>
      </c>
      <c r="M59" s="28">
        <v>1116.4000000000001</v>
      </c>
      <c r="N59" s="22">
        <v>2.707E-2</v>
      </c>
      <c r="O59" s="45">
        <v>0.15540000000000001</v>
      </c>
    </row>
    <row r="60" spans="1:15" x14ac:dyDescent="0.2">
      <c r="A60" s="30">
        <v>130</v>
      </c>
      <c r="B60" s="26">
        <v>355.6</v>
      </c>
      <c r="C60" s="27">
        <v>327.7</v>
      </c>
      <c r="D60" s="28">
        <v>865.9</v>
      </c>
      <c r="E60" s="28">
        <v>1193.5</v>
      </c>
      <c r="F60" s="22">
        <v>1.806E-2</v>
      </c>
      <c r="G60" s="43">
        <v>3.1190000000000002</v>
      </c>
      <c r="H60" s="24"/>
      <c r="I60" s="25">
        <v>2500</v>
      </c>
      <c r="J60" s="26">
        <v>669</v>
      </c>
      <c r="K60" s="27">
        <v>733.6</v>
      </c>
      <c r="L60" s="28">
        <v>358.1</v>
      </c>
      <c r="M60" s="28">
        <v>1091.7</v>
      </c>
      <c r="N60" s="22">
        <v>2.8709999999999999E-2</v>
      </c>
      <c r="O60" s="45">
        <v>0.1293</v>
      </c>
    </row>
    <row r="61" spans="1:15" ht="13.5" thickBot="1" x14ac:dyDescent="0.25">
      <c r="A61" s="33">
        <v>135</v>
      </c>
      <c r="B61" s="34">
        <v>358.3</v>
      </c>
      <c r="C61" s="35">
        <v>330.5</v>
      </c>
      <c r="D61" s="36">
        <v>863.6</v>
      </c>
      <c r="E61" s="36">
        <v>1194</v>
      </c>
      <c r="F61" s="37">
        <v>1.8089999999999998E-2</v>
      </c>
      <c r="G61" s="42">
        <v>3.02</v>
      </c>
      <c r="H61" s="24"/>
      <c r="I61" s="40">
        <v>2750</v>
      </c>
      <c r="J61" s="34">
        <v>683</v>
      </c>
      <c r="K61" s="35">
        <v>766</v>
      </c>
      <c r="L61" s="36">
        <v>294.7</v>
      </c>
      <c r="M61" s="36">
        <v>1060.7</v>
      </c>
      <c r="N61" s="37">
        <v>3.0970000000000001E-2</v>
      </c>
      <c r="O61" s="44">
        <v>0.1062</v>
      </c>
    </row>
    <row r="62" spans="1:15" x14ac:dyDescent="0.2">
      <c r="A62" s="30">
        <v>140</v>
      </c>
      <c r="B62" s="26">
        <v>360.9</v>
      </c>
      <c r="C62" s="27">
        <v>333.2</v>
      </c>
      <c r="D62" s="28">
        <v>861.3</v>
      </c>
      <c r="E62" s="28">
        <v>1194.5</v>
      </c>
      <c r="F62" s="22">
        <v>1.8120000000000001E-2</v>
      </c>
      <c r="G62" s="43">
        <v>2.927</v>
      </c>
      <c r="H62" s="24"/>
      <c r="I62" s="25">
        <v>3000</v>
      </c>
      <c r="J62" s="26">
        <v>696.1</v>
      </c>
      <c r="K62" s="27">
        <v>805.1</v>
      </c>
      <c r="L62" s="28">
        <v>211.2</v>
      </c>
      <c r="M62" s="28">
        <v>1016.2</v>
      </c>
      <c r="N62" s="22">
        <v>3.465E-2</v>
      </c>
      <c r="O62" s="45">
        <v>8.3500000000000005E-2</v>
      </c>
    </row>
    <row r="63" spans="1:15" ht="13.5" thickBot="1" x14ac:dyDescent="0.25">
      <c r="A63" s="33">
        <v>145</v>
      </c>
      <c r="B63" s="34">
        <v>363.4</v>
      </c>
      <c r="C63" s="35">
        <v>335.9</v>
      </c>
      <c r="D63" s="36">
        <v>859.1</v>
      </c>
      <c r="E63" s="36">
        <v>1195.0999999999999</v>
      </c>
      <c r="F63" s="37">
        <v>1.8149999999999999E-2</v>
      </c>
      <c r="G63" s="42">
        <v>2.839</v>
      </c>
      <c r="H63" s="46"/>
      <c r="I63" s="40">
        <v>3193.5</v>
      </c>
      <c r="J63" s="34">
        <v>705.5</v>
      </c>
      <c r="K63" s="35">
        <v>906</v>
      </c>
      <c r="L63" s="36">
        <v>0</v>
      </c>
      <c r="M63" s="36">
        <v>906</v>
      </c>
      <c r="N63" s="37">
        <v>5.0779999999999999E-2</v>
      </c>
      <c r="O63" s="44">
        <v>5.0799999999999998E-2</v>
      </c>
    </row>
    <row r="64" spans="1:15" x14ac:dyDescent="0.2">
      <c r="A64" s="1"/>
      <c r="B64" s="1"/>
      <c r="C64" s="1"/>
      <c r="D64" s="1"/>
      <c r="E64" s="1"/>
      <c r="H64" s="49"/>
      <c r="I64" s="49"/>
      <c r="J64" s="49"/>
      <c r="K64" s="49"/>
      <c r="L64" s="49"/>
      <c r="M64" s="49"/>
      <c r="N64" s="50"/>
      <c r="O64" s="51"/>
    </row>
    <row r="65" spans="1:15" x14ac:dyDescent="0.2">
      <c r="A65" s="237"/>
      <c r="B65" s="237"/>
      <c r="C65" s="1"/>
      <c r="D65" s="1"/>
      <c r="E65" s="1"/>
      <c r="H65" s="49"/>
      <c r="I65" s="49"/>
      <c r="J65" s="49"/>
      <c r="K65" s="49"/>
      <c r="L65" s="49"/>
      <c r="M65" s="49"/>
      <c r="N65" s="50"/>
      <c r="O65" s="51"/>
    </row>
    <row r="66" spans="1:15" x14ac:dyDescent="0.2">
      <c r="A66" s="1"/>
      <c r="B66" s="130"/>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1bd8Bru/mz4TM6uo8zk3zE+FASVSOe8UIYGAbqNYML/Z0Svuh+HV+DE4v92S+ph8jUtHLk4t2TNyUmIj8STESQ==" saltValue="KYNJ09rJV6CiAly97D3jIA==" spinCount="100000" sheet="1" objects="1" scenarios="1" autoFilter="0" pivotTables="0"/>
  <mergeCells count="2">
    <mergeCell ref="A1:O1"/>
    <mergeCell ref="A65:B65"/>
  </mergeCells>
  <printOptions horizontalCentered="1" verticalCentered="1"/>
  <pageMargins left="0.25" right="0.25" top="0.25" bottom="0.25" header="0" footer="0"/>
  <pageSetup scale="90" orientation="portrait" horizontalDpi="360" verticalDpi="36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36" t="s">
        <v>3</v>
      </c>
      <c r="B1" s="236"/>
      <c r="C1" s="236"/>
      <c r="D1" s="236"/>
      <c r="E1" s="236"/>
      <c r="F1" s="236"/>
      <c r="G1" s="236"/>
      <c r="H1" s="236"/>
      <c r="I1" s="236"/>
      <c r="J1" s="236"/>
      <c r="K1" s="236"/>
      <c r="L1" s="236"/>
      <c r="M1" s="236"/>
      <c r="N1" s="236"/>
      <c r="O1" s="236"/>
    </row>
    <row r="2" spans="1:15" s="2" customFormat="1" ht="25.5" x14ac:dyDescent="0.2">
      <c r="A2" s="3" t="s">
        <v>0</v>
      </c>
      <c r="B2" s="4" t="s">
        <v>4</v>
      </c>
      <c r="C2" s="3" t="s">
        <v>15</v>
      </c>
      <c r="D2" s="5"/>
      <c r="E2" s="6"/>
      <c r="F2" s="7" t="s">
        <v>16</v>
      </c>
      <c r="G2" s="8"/>
      <c r="H2" s="9"/>
      <c r="I2" s="6" t="s">
        <v>0</v>
      </c>
      <c r="J2" s="4" t="s">
        <v>4</v>
      </c>
      <c r="K2" s="3" t="s">
        <v>15</v>
      </c>
      <c r="L2" s="5"/>
      <c r="M2" s="6"/>
      <c r="N2" s="7" t="s">
        <v>17</v>
      </c>
      <c r="O2" s="10"/>
    </row>
    <row r="3" spans="1:15" ht="13.5" thickBot="1" x14ac:dyDescent="0.25">
      <c r="A3" s="11"/>
      <c r="B3" s="11" t="s">
        <v>18</v>
      </c>
      <c r="C3" s="12" t="s">
        <v>8</v>
      </c>
      <c r="D3" s="13" t="s">
        <v>9</v>
      </c>
      <c r="E3" s="13" t="s">
        <v>10</v>
      </c>
      <c r="F3" s="14" t="s">
        <v>11</v>
      </c>
      <c r="G3" s="15" t="s">
        <v>12</v>
      </c>
      <c r="H3" s="16"/>
      <c r="I3" s="17" t="s">
        <v>19</v>
      </c>
      <c r="J3" s="11" t="s">
        <v>18</v>
      </c>
      <c r="K3" s="12" t="s">
        <v>8</v>
      </c>
      <c r="L3" s="13" t="s">
        <v>9</v>
      </c>
      <c r="M3" s="13" t="s">
        <v>10</v>
      </c>
      <c r="N3" s="14" t="s">
        <v>11</v>
      </c>
      <c r="O3" s="18" t="s">
        <v>12</v>
      </c>
    </row>
    <row r="4" spans="1:15" x14ac:dyDescent="0.2">
      <c r="A4" s="54" t="s">
        <v>20</v>
      </c>
      <c r="B4" s="19"/>
      <c r="C4" s="20"/>
      <c r="D4" s="21"/>
      <c r="E4" s="21"/>
      <c r="F4" s="22"/>
      <c r="G4" s="23"/>
      <c r="H4" s="24"/>
      <c r="I4" s="78">
        <v>18</v>
      </c>
      <c r="J4" s="26">
        <v>209.8</v>
      </c>
      <c r="K4" s="27">
        <v>897.13819999999998</v>
      </c>
      <c r="L4" s="28">
        <v>1899.1790000000001</v>
      </c>
      <c r="M4" s="28">
        <v>2796.3172</v>
      </c>
      <c r="N4" s="71">
        <v>1.173E-3</v>
      </c>
      <c r="O4" s="76">
        <v>0.1046</v>
      </c>
    </row>
    <row r="5" spans="1:15" ht="13.5" thickBot="1" x14ac:dyDescent="0.25">
      <c r="A5" s="79">
        <v>-0.9</v>
      </c>
      <c r="B5" s="26">
        <v>48.3</v>
      </c>
      <c r="C5" s="27">
        <v>202.12940000000003</v>
      </c>
      <c r="D5" s="28">
        <v>2386.9412000000002</v>
      </c>
      <c r="E5" s="28">
        <v>2589.0706</v>
      </c>
      <c r="F5" s="71">
        <v>1.011E-3</v>
      </c>
      <c r="G5" s="73">
        <v>13.053000000000001</v>
      </c>
      <c r="H5" s="24"/>
      <c r="I5" s="80">
        <v>18.5</v>
      </c>
      <c r="J5" s="26">
        <v>211.1</v>
      </c>
      <c r="K5" s="27">
        <v>902.95320000000004</v>
      </c>
      <c r="L5" s="28">
        <v>1893.8292000000001</v>
      </c>
      <c r="M5" s="28">
        <v>2796.7824000000001</v>
      </c>
      <c r="N5" s="71">
        <v>1.1739999999999999E-3</v>
      </c>
      <c r="O5" s="76">
        <v>0.10199999999999999</v>
      </c>
    </row>
    <row r="6" spans="1:15" x14ac:dyDescent="0.2">
      <c r="A6" s="79">
        <v>-0.8</v>
      </c>
      <c r="B6" s="26">
        <v>61.5</v>
      </c>
      <c r="C6" s="27">
        <v>257.25560000000002</v>
      </c>
      <c r="D6" s="28">
        <v>2355.0749999999998</v>
      </c>
      <c r="E6" s="28">
        <v>2612.3306000000002</v>
      </c>
      <c r="F6" s="71">
        <v>1.018E-3</v>
      </c>
      <c r="G6" s="73">
        <v>7.218</v>
      </c>
      <c r="H6" s="24"/>
      <c r="I6" s="81">
        <v>19</v>
      </c>
      <c r="J6" s="26">
        <v>212.4</v>
      </c>
      <c r="K6" s="27">
        <v>908.76819999999998</v>
      </c>
      <c r="L6" s="28">
        <v>1888.4793999999999</v>
      </c>
      <c r="M6" s="28">
        <v>2797.2475999999997</v>
      </c>
      <c r="N6" s="71">
        <v>1.1770000000000001E-3</v>
      </c>
      <c r="O6" s="76">
        <v>9.9470000000000003E-2</v>
      </c>
    </row>
    <row r="7" spans="1:15" ht="13.5" thickBot="1" x14ac:dyDescent="0.25">
      <c r="A7" s="79">
        <v>-0.6</v>
      </c>
      <c r="B7" s="26">
        <v>76.7</v>
      </c>
      <c r="C7" s="27">
        <v>320.988</v>
      </c>
      <c r="D7" s="28">
        <v>2317.1612</v>
      </c>
      <c r="E7" s="28">
        <v>2638.1491999999998</v>
      </c>
      <c r="F7" s="71">
        <v>1.0269999999999999E-3</v>
      </c>
      <c r="G7" s="73">
        <v>3.871</v>
      </c>
      <c r="H7" s="24"/>
      <c r="I7" s="80">
        <v>19.5</v>
      </c>
      <c r="J7" s="26">
        <v>213.7</v>
      </c>
      <c r="K7" s="27">
        <v>914.58320000000003</v>
      </c>
      <c r="L7" s="28">
        <v>1883.1296000000002</v>
      </c>
      <c r="M7" s="28">
        <v>2797.7128000000002</v>
      </c>
      <c r="N7" s="71">
        <v>1.1789999999999999E-3</v>
      </c>
      <c r="O7" s="76">
        <v>9.7100000000000006E-2</v>
      </c>
    </row>
    <row r="8" spans="1:15" x14ac:dyDescent="0.2">
      <c r="A8" s="79">
        <v>-0.4</v>
      </c>
      <c r="B8" s="26">
        <v>86.5</v>
      </c>
      <c r="C8" s="27">
        <v>362.39080000000001</v>
      </c>
      <c r="D8" s="28">
        <v>2292.0403999999999</v>
      </c>
      <c r="E8" s="28">
        <v>2654.4312</v>
      </c>
      <c r="F8" s="71">
        <v>1.034E-3</v>
      </c>
      <c r="G8" s="73">
        <v>2.677</v>
      </c>
      <c r="H8" s="24"/>
      <c r="I8" s="81">
        <v>20</v>
      </c>
      <c r="J8" s="26">
        <v>214.9</v>
      </c>
      <c r="K8" s="27">
        <v>920.16560000000004</v>
      </c>
      <c r="L8" s="28">
        <v>1878.2449999999999</v>
      </c>
      <c r="M8" s="28">
        <v>2798.4106000000002</v>
      </c>
      <c r="N8" s="71">
        <v>1.181E-3</v>
      </c>
      <c r="O8" s="76">
        <v>9.4899999999999998E-2</v>
      </c>
    </row>
    <row r="9" spans="1:15" ht="13.5" thickBot="1" x14ac:dyDescent="0.25">
      <c r="A9" s="79">
        <v>-0.2</v>
      </c>
      <c r="B9" s="34">
        <v>94</v>
      </c>
      <c r="C9" s="35">
        <v>393.55919999999998</v>
      </c>
      <c r="D9" s="36">
        <v>2272.7346000000002</v>
      </c>
      <c r="E9" s="36">
        <v>2666.2938000000004</v>
      </c>
      <c r="F9" s="72">
        <v>1.039E-3</v>
      </c>
      <c r="G9" s="74">
        <v>2.0569999999999999</v>
      </c>
      <c r="H9" s="24"/>
      <c r="I9" s="82">
        <v>21</v>
      </c>
      <c r="J9" s="26">
        <v>217.3</v>
      </c>
      <c r="K9" s="27">
        <v>931.09780000000001</v>
      </c>
      <c r="L9" s="28">
        <v>1868.0106000000001</v>
      </c>
      <c r="M9" s="28">
        <v>2799.1084000000001</v>
      </c>
      <c r="N9" s="71">
        <v>1.1850000000000001E-3</v>
      </c>
      <c r="O9" s="76">
        <v>9.0609999999999996E-2</v>
      </c>
    </row>
    <row r="10" spans="1:15" x14ac:dyDescent="0.2">
      <c r="A10" s="54" t="s">
        <v>19</v>
      </c>
      <c r="B10" s="19"/>
      <c r="C10" s="20"/>
      <c r="D10" s="21"/>
      <c r="E10" s="21"/>
      <c r="F10" s="71"/>
      <c r="G10" s="75"/>
      <c r="H10" s="24"/>
      <c r="I10" s="82">
        <v>22</v>
      </c>
      <c r="J10" s="26">
        <v>219.6</v>
      </c>
      <c r="K10" s="27">
        <v>941.5648000000001</v>
      </c>
      <c r="L10" s="28">
        <v>1858.0087999999998</v>
      </c>
      <c r="M10" s="28">
        <v>2799.5735999999997</v>
      </c>
      <c r="N10" s="71">
        <v>1.189E-3</v>
      </c>
      <c r="O10" s="76">
        <v>8.6779999999999996E-2</v>
      </c>
    </row>
    <row r="11" spans="1:15" x14ac:dyDescent="0.2">
      <c r="A11" s="79">
        <v>0</v>
      </c>
      <c r="B11" s="26">
        <v>100</v>
      </c>
      <c r="C11" s="27">
        <v>419.14519999999999</v>
      </c>
      <c r="D11" s="28">
        <v>2256.9178000000002</v>
      </c>
      <c r="E11" s="28">
        <v>2676.0630000000001</v>
      </c>
      <c r="F11" s="71">
        <v>1.044E-3</v>
      </c>
      <c r="G11" s="73">
        <v>1.673</v>
      </c>
      <c r="H11" s="24"/>
      <c r="I11" s="82">
        <v>23</v>
      </c>
      <c r="J11" s="26">
        <v>221.8</v>
      </c>
      <c r="K11" s="27">
        <v>952.03180000000009</v>
      </c>
      <c r="L11" s="28">
        <v>1848.2396000000001</v>
      </c>
      <c r="M11" s="28">
        <v>2800.2714000000001</v>
      </c>
      <c r="N11" s="71">
        <v>1.193E-3</v>
      </c>
      <c r="O11" s="76">
        <v>8.3220000000000002E-2</v>
      </c>
    </row>
    <row r="12" spans="1:15" x14ac:dyDescent="0.2">
      <c r="A12" s="79">
        <v>0.1</v>
      </c>
      <c r="B12" s="26">
        <v>102.7</v>
      </c>
      <c r="C12" s="27">
        <v>430.31</v>
      </c>
      <c r="D12" s="28">
        <v>2249.9398000000001</v>
      </c>
      <c r="E12" s="28">
        <v>2680.2498000000001</v>
      </c>
      <c r="F12" s="71">
        <v>1.0460000000000001E-3</v>
      </c>
      <c r="G12" s="73">
        <v>1.532</v>
      </c>
      <c r="H12" s="24"/>
      <c r="I12" s="82">
        <v>24</v>
      </c>
      <c r="J12" s="26">
        <v>224</v>
      </c>
      <c r="K12" s="27">
        <v>962.03360000000009</v>
      </c>
      <c r="L12" s="28">
        <v>1838.703</v>
      </c>
      <c r="M12" s="28">
        <v>2800.7366000000002</v>
      </c>
      <c r="N12" s="71">
        <v>1.1969999999999999E-3</v>
      </c>
      <c r="O12" s="76">
        <v>7.9890000000000003E-2</v>
      </c>
    </row>
    <row r="13" spans="1:15" ht="13.5" thickBot="1" x14ac:dyDescent="0.25">
      <c r="A13" s="79">
        <v>0.2</v>
      </c>
      <c r="B13" s="26">
        <v>105.1</v>
      </c>
      <c r="C13" s="27">
        <v>440.77699999999999</v>
      </c>
      <c r="D13" s="28">
        <v>2243.4270000000001</v>
      </c>
      <c r="E13" s="28">
        <v>2684.2040000000002</v>
      </c>
      <c r="F13" s="71">
        <v>1.0480000000000001E-3</v>
      </c>
      <c r="G13" s="73">
        <v>1.4139999999999999</v>
      </c>
      <c r="H13" s="24"/>
      <c r="I13" s="82">
        <v>25</v>
      </c>
      <c r="J13" s="34">
        <v>226.1</v>
      </c>
      <c r="K13" s="35">
        <v>971.80280000000005</v>
      </c>
      <c r="L13" s="36">
        <v>1829.3990000000001</v>
      </c>
      <c r="M13" s="36">
        <v>2801.2018000000003</v>
      </c>
      <c r="N13" s="72">
        <v>1.201E-3</v>
      </c>
      <c r="O13" s="77">
        <v>7.6840000000000006E-2</v>
      </c>
    </row>
    <row r="14" spans="1:15" x14ac:dyDescent="0.2">
      <c r="A14" s="79">
        <v>0.3</v>
      </c>
      <c r="B14" s="26">
        <v>107.4</v>
      </c>
      <c r="C14" s="27">
        <v>450.5462</v>
      </c>
      <c r="D14" s="28">
        <v>2236.9142000000002</v>
      </c>
      <c r="E14" s="28">
        <v>2687.4603999999999</v>
      </c>
      <c r="F14" s="71">
        <v>1.0499999999999999E-3</v>
      </c>
      <c r="G14" s="73">
        <v>1.3120000000000001</v>
      </c>
      <c r="H14" s="24"/>
      <c r="I14" s="82">
        <v>26</v>
      </c>
      <c r="J14" s="26">
        <v>228.1</v>
      </c>
      <c r="K14" s="27">
        <v>981.33939999999996</v>
      </c>
      <c r="L14" s="28">
        <v>1820.3276000000001</v>
      </c>
      <c r="M14" s="28">
        <v>2801.6669999999999</v>
      </c>
      <c r="N14" s="71">
        <v>1.2049999999999999E-3</v>
      </c>
      <c r="O14" s="76">
        <v>7.4029999999999999E-2</v>
      </c>
    </row>
    <row r="15" spans="1:15" x14ac:dyDescent="0.2">
      <c r="A15" s="79">
        <v>0.4</v>
      </c>
      <c r="B15" s="26">
        <v>109.6</v>
      </c>
      <c r="C15" s="27">
        <v>459.61759999999998</v>
      </c>
      <c r="D15" s="28">
        <v>2231.0992000000001</v>
      </c>
      <c r="E15" s="28">
        <v>2690.7168000000001</v>
      </c>
      <c r="F15" s="71">
        <v>1.052E-3</v>
      </c>
      <c r="G15" s="73">
        <v>1.226</v>
      </c>
      <c r="H15" s="24"/>
      <c r="I15" s="82">
        <v>27</v>
      </c>
      <c r="J15" s="26">
        <v>230.1</v>
      </c>
      <c r="K15" s="27">
        <v>990.64339999999993</v>
      </c>
      <c r="L15" s="28">
        <v>1811.4887999999999</v>
      </c>
      <c r="M15" s="28">
        <v>2802.1322</v>
      </c>
      <c r="N15" s="71">
        <v>1.209E-3</v>
      </c>
      <c r="O15" s="76">
        <v>7.1389999999999995E-2</v>
      </c>
    </row>
    <row r="16" spans="1:15" x14ac:dyDescent="0.2">
      <c r="A16" s="79">
        <v>0.5</v>
      </c>
      <c r="B16" s="26">
        <v>111.6</v>
      </c>
      <c r="C16" s="27">
        <v>468.22380000000004</v>
      </c>
      <c r="D16" s="28">
        <v>2225.5167999999999</v>
      </c>
      <c r="E16" s="28">
        <v>2693.7406000000001</v>
      </c>
      <c r="F16" s="71">
        <v>1.0529999999999999E-3</v>
      </c>
      <c r="G16" s="73">
        <v>1.149</v>
      </c>
      <c r="H16" s="24"/>
      <c r="I16" s="82">
        <v>28</v>
      </c>
      <c r="J16" s="26">
        <v>232</v>
      </c>
      <c r="K16" s="27">
        <v>999.71480000000008</v>
      </c>
      <c r="L16" s="28">
        <v>1802.65</v>
      </c>
      <c r="M16" s="28">
        <v>2802.3648000000003</v>
      </c>
      <c r="N16" s="71">
        <v>1.2130000000000001E-3</v>
      </c>
      <c r="O16" s="76">
        <v>6.8900000000000003E-2</v>
      </c>
    </row>
    <row r="17" spans="1:15" ht="13.5" thickBot="1" x14ac:dyDescent="0.25">
      <c r="A17" s="79">
        <v>0.6</v>
      </c>
      <c r="B17" s="26">
        <v>113.6</v>
      </c>
      <c r="C17" s="27">
        <v>476.36480000000006</v>
      </c>
      <c r="D17" s="28">
        <v>2220.1669999999999</v>
      </c>
      <c r="E17" s="28">
        <v>2696.5317999999997</v>
      </c>
      <c r="F17" s="71">
        <v>1.0549999999999999E-3</v>
      </c>
      <c r="G17" s="73">
        <v>1.083</v>
      </c>
      <c r="H17" s="24"/>
      <c r="I17" s="80">
        <v>29</v>
      </c>
      <c r="J17" s="26">
        <v>233.9</v>
      </c>
      <c r="K17" s="27">
        <v>1008.5536000000001</v>
      </c>
      <c r="L17" s="28">
        <v>1793.8112000000001</v>
      </c>
      <c r="M17" s="28">
        <v>2802.3648000000003</v>
      </c>
      <c r="N17" s="71">
        <v>1.2160000000000001E-3</v>
      </c>
      <c r="O17" s="76">
        <v>6.6619999999999999E-2</v>
      </c>
    </row>
    <row r="18" spans="1:15" x14ac:dyDescent="0.2">
      <c r="A18" s="79">
        <v>0.7</v>
      </c>
      <c r="B18" s="26">
        <v>115.4</v>
      </c>
      <c r="C18" s="27">
        <v>484.27319999999997</v>
      </c>
      <c r="D18" s="28">
        <v>2215.0497999999998</v>
      </c>
      <c r="E18" s="28">
        <v>2699.3229999999999</v>
      </c>
      <c r="F18" s="71">
        <v>1.057E-3</v>
      </c>
      <c r="G18" s="73">
        <v>1.0229999999999999</v>
      </c>
      <c r="H18" s="24"/>
      <c r="I18" s="81">
        <v>30</v>
      </c>
      <c r="J18" s="26">
        <v>235.7</v>
      </c>
      <c r="K18" s="27">
        <v>1017.1598</v>
      </c>
      <c r="L18" s="28">
        <v>1785.2049999999999</v>
      </c>
      <c r="M18" s="28">
        <v>2802.3648000000003</v>
      </c>
      <c r="N18" s="71">
        <v>1.2199999999999999E-3</v>
      </c>
      <c r="O18" s="76">
        <v>6.447E-2</v>
      </c>
    </row>
    <row r="19" spans="1:15" x14ac:dyDescent="0.2">
      <c r="A19" s="79">
        <v>0.8</v>
      </c>
      <c r="B19" s="26">
        <v>117.2</v>
      </c>
      <c r="C19" s="27">
        <v>491.71640000000002</v>
      </c>
      <c r="D19" s="28">
        <v>2210.1652000000004</v>
      </c>
      <c r="E19" s="28">
        <v>2701.8816000000006</v>
      </c>
      <c r="F19" s="71">
        <v>1.0579999999999999E-3</v>
      </c>
      <c r="G19" s="73">
        <v>0.97070000000000001</v>
      </c>
      <c r="H19" s="24"/>
      <c r="I19" s="82">
        <v>31</v>
      </c>
      <c r="J19" s="26">
        <v>237.5</v>
      </c>
      <c r="K19" s="27">
        <v>1025.5334</v>
      </c>
      <c r="L19" s="28">
        <v>1776.8314</v>
      </c>
      <c r="M19" s="28">
        <v>2802.3648000000003</v>
      </c>
      <c r="N19" s="71">
        <v>1.224E-3</v>
      </c>
      <c r="O19" s="76">
        <v>6.2429999999999999E-2</v>
      </c>
    </row>
    <row r="20" spans="1:15" ht="13.5" thickBot="1" x14ac:dyDescent="0.25">
      <c r="A20" s="83">
        <v>0.9</v>
      </c>
      <c r="B20" s="34">
        <v>118.8</v>
      </c>
      <c r="C20" s="35">
        <v>498.69440000000003</v>
      </c>
      <c r="D20" s="36">
        <v>2205.5132000000003</v>
      </c>
      <c r="E20" s="36">
        <v>2704.2076000000002</v>
      </c>
      <c r="F20" s="72">
        <v>1.06E-3</v>
      </c>
      <c r="G20" s="74">
        <v>0.92310000000000003</v>
      </c>
      <c r="H20" s="24"/>
      <c r="I20" s="82">
        <v>32</v>
      </c>
      <c r="J20" s="26">
        <v>239.2</v>
      </c>
      <c r="K20" s="27">
        <v>1033.6743999999999</v>
      </c>
      <c r="L20" s="28">
        <v>1768.4577999999999</v>
      </c>
      <c r="M20" s="28">
        <v>2802.1322</v>
      </c>
      <c r="N20" s="71">
        <v>1.2279999999999999E-3</v>
      </c>
      <c r="O20" s="76">
        <v>6.0510000000000001E-2</v>
      </c>
    </row>
    <row r="21" spans="1:15" x14ac:dyDescent="0.2">
      <c r="A21" s="84">
        <v>1</v>
      </c>
      <c r="B21" s="26">
        <v>120.4</v>
      </c>
      <c r="C21" s="27">
        <v>505.67240000000004</v>
      </c>
      <c r="D21" s="28">
        <v>2200.8612000000003</v>
      </c>
      <c r="E21" s="28">
        <v>2706.5336000000002</v>
      </c>
      <c r="F21" s="71">
        <v>1.0610000000000001E-3</v>
      </c>
      <c r="G21" s="73">
        <v>0.88</v>
      </c>
      <c r="H21" s="24"/>
      <c r="I21" s="82">
        <v>33</v>
      </c>
      <c r="J21" s="26">
        <v>240.9</v>
      </c>
      <c r="K21" s="27">
        <v>1041.8154</v>
      </c>
      <c r="L21" s="28">
        <v>1760.0842000000002</v>
      </c>
      <c r="M21" s="28">
        <v>2801.8996000000002</v>
      </c>
      <c r="N21" s="71">
        <v>1.2310000000000001E-3</v>
      </c>
      <c r="O21" s="76">
        <v>5.8729999999999997E-2</v>
      </c>
    </row>
    <row r="22" spans="1:15" x14ac:dyDescent="0.2">
      <c r="A22" s="79">
        <v>1.2</v>
      </c>
      <c r="B22" s="26">
        <v>123.5</v>
      </c>
      <c r="C22" s="27">
        <v>518.46540000000005</v>
      </c>
      <c r="D22" s="28">
        <v>2192.4875999999999</v>
      </c>
      <c r="E22" s="28">
        <v>2710.953</v>
      </c>
      <c r="F22" s="71">
        <v>1.0640000000000001E-3</v>
      </c>
      <c r="G22" s="73">
        <v>0.80530000000000002</v>
      </c>
      <c r="H22" s="24"/>
      <c r="I22" s="82">
        <v>34</v>
      </c>
      <c r="J22" s="26">
        <v>242.6</v>
      </c>
      <c r="K22" s="27">
        <v>1049.7238</v>
      </c>
      <c r="L22" s="28">
        <v>1752.1758</v>
      </c>
      <c r="M22" s="28">
        <v>2801.8995999999997</v>
      </c>
      <c r="N22" s="71">
        <v>1.235E-3</v>
      </c>
      <c r="O22" s="76">
        <v>5.7020000000000001E-2</v>
      </c>
    </row>
    <row r="23" spans="1:15" ht="13.5" thickBot="1" x14ac:dyDescent="0.25">
      <c r="A23" s="79">
        <v>1.4</v>
      </c>
      <c r="B23" s="26">
        <v>126.3</v>
      </c>
      <c r="C23" s="27">
        <v>530.32799999999997</v>
      </c>
      <c r="D23" s="28">
        <v>2184.3466000000003</v>
      </c>
      <c r="E23" s="28">
        <v>2714.6746000000003</v>
      </c>
      <c r="F23" s="71">
        <v>1.0660000000000001E-3</v>
      </c>
      <c r="G23" s="73">
        <v>0.74250000000000005</v>
      </c>
      <c r="H23" s="24"/>
      <c r="I23" s="82">
        <v>35</v>
      </c>
      <c r="J23" s="34">
        <v>244.2</v>
      </c>
      <c r="K23" s="35">
        <v>1057.6322</v>
      </c>
      <c r="L23" s="36">
        <v>1744.2674</v>
      </c>
      <c r="M23" s="36">
        <v>2801.8995999999997</v>
      </c>
      <c r="N23" s="72">
        <v>1.238E-3</v>
      </c>
      <c r="O23" s="77">
        <v>5.5399999999999998E-2</v>
      </c>
    </row>
    <row r="24" spans="1:15" x14ac:dyDescent="0.2">
      <c r="A24" s="79">
        <v>1.6</v>
      </c>
      <c r="B24" s="26">
        <v>128.9</v>
      </c>
      <c r="C24" s="27">
        <v>541.49279999999999</v>
      </c>
      <c r="D24" s="28">
        <v>2176.9034000000001</v>
      </c>
      <c r="E24" s="28">
        <v>2718.3962000000001</v>
      </c>
      <c r="F24" s="71">
        <v>1.0690000000000001E-3</v>
      </c>
      <c r="G24" s="73">
        <v>0.68920000000000003</v>
      </c>
      <c r="H24" s="24"/>
      <c r="I24" s="82">
        <v>36</v>
      </c>
      <c r="J24" s="26">
        <v>245.8</v>
      </c>
      <c r="K24" s="27">
        <v>1065.308</v>
      </c>
      <c r="L24" s="28">
        <v>1736.1264000000001</v>
      </c>
      <c r="M24" s="28">
        <v>2801.4344000000001</v>
      </c>
      <c r="N24" s="71">
        <v>1.242E-3</v>
      </c>
      <c r="O24" s="76">
        <v>5.3879999999999997E-2</v>
      </c>
    </row>
    <row r="25" spans="1:15" ht="13.5" thickBot="1" x14ac:dyDescent="0.25">
      <c r="A25" s="83">
        <v>1.8</v>
      </c>
      <c r="B25" s="34">
        <v>131.4</v>
      </c>
      <c r="C25" s="35">
        <v>552.19240000000002</v>
      </c>
      <c r="D25" s="36">
        <v>2169.6927999999998</v>
      </c>
      <c r="E25" s="36">
        <v>2721.8851999999997</v>
      </c>
      <c r="F25" s="72">
        <v>1.0709999999999999E-3</v>
      </c>
      <c r="G25" s="74">
        <v>0.64319999999999999</v>
      </c>
      <c r="H25" s="24"/>
      <c r="I25" s="82">
        <v>37</v>
      </c>
      <c r="J25" s="26">
        <v>247.3</v>
      </c>
      <c r="K25" s="27">
        <v>1072.7511999999999</v>
      </c>
      <c r="L25" s="28">
        <v>1728.2180000000001</v>
      </c>
      <c r="M25" s="28">
        <v>2800.9692</v>
      </c>
      <c r="N25" s="71">
        <v>1.245E-3</v>
      </c>
      <c r="O25" s="76">
        <v>5.2440000000000001E-2</v>
      </c>
    </row>
    <row r="26" spans="1:15" x14ac:dyDescent="0.2">
      <c r="A26" s="84">
        <v>2</v>
      </c>
      <c r="B26" s="26">
        <v>133.69999999999999</v>
      </c>
      <c r="C26" s="27">
        <v>562.19420000000002</v>
      </c>
      <c r="D26" s="28">
        <v>2162.7147999999997</v>
      </c>
      <c r="E26" s="28">
        <v>2724.9089999999997</v>
      </c>
      <c r="F26" s="71">
        <v>1.0740000000000001E-3</v>
      </c>
      <c r="G26" s="73">
        <v>0.60309999999999997</v>
      </c>
      <c r="H26" s="24"/>
      <c r="I26" s="82">
        <v>38</v>
      </c>
      <c r="J26" s="26">
        <v>248.8</v>
      </c>
      <c r="K26" s="27">
        <v>1080.1944000000001</v>
      </c>
      <c r="L26" s="28">
        <v>1720.5422000000001</v>
      </c>
      <c r="M26" s="28">
        <v>2800.7366000000002</v>
      </c>
      <c r="N26" s="71">
        <v>1.2489999999999999E-3</v>
      </c>
      <c r="O26" s="76">
        <v>5.1060000000000001E-2</v>
      </c>
    </row>
    <row r="27" spans="1:15" ht="13.5" thickBot="1" x14ac:dyDescent="0.25">
      <c r="A27" s="79">
        <v>2.2000000000000002</v>
      </c>
      <c r="B27" s="26">
        <v>135.9</v>
      </c>
      <c r="C27" s="27">
        <v>571.4982</v>
      </c>
      <c r="D27" s="28">
        <v>2156.2020000000002</v>
      </c>
      <c r="E27" s="28">
        <v>2727.7002000000002</v>
      </c>
      <c r="F27" s="71">
        <v>1.0759999999999999E-3</v>
      </c>
      <c r="G27" s="73">
        <v>0.56779999999999997</v>
      </c>
      <c r="H27" s="24"/>
      <c r="I27" s="80">
        <v>39</v>
      </c>
      <c r="J27" s="26">
        <v>250.4</v>
      </c>
      <c r="K27" s="27">
        <v>1087.6376</v>
      </c>
      <c r="L27" s="28">
        <v>1712.8663999999999</v>
      </c>
      <c r="M27" s="28">
        <v>2800.5039999999999</v>
      </c>
      <c r="N27" s="71">
        <v>1.2520000000000001E-3</v>
      </c>
      <c r="O27" s="76">
        <v>4.9730000000000003E-2</v>
      </c>
    </row>
    <row r="28" spans="1:15" x14ac:dyDescent="0.2">
      <c r="A28" s="79">
        <v>2.4</v>
      </c>
      <c r="B28" s="26">
        <v>138</v>
      </c>
      <c r="C28" s="27">
        <v>580.56960000000004</v>
      </c>
      <c r="D28" s="28">
        <v>2149.9218000000001</v>
      </c>
      <c r="E28" s="28">
        <v>2730.4913999999999</v>
      </c>
      <c r="F28" s="71">
        <v>1.078E-3</v>
      </c>
      <c r="G28" s="73">
        <v>0.53649999999999998</v>
      </c>
      <c r="H28" s="24"/>
      <c r="I28" s="81">
        <v>40</v>
      </c>
      <c r="J28" s="26">
        <v>251.8</v>
      </c>
      <c r="K28" s="27">
        <v>1094.6156000000001</v>
      </c>
      <c r="L28" s="28">
        <v>1705.4232000000002</v>
      </c>
      <c r="M28" s="28">
        <v>2800.0388000000003</v>
      </c>
      <c r="N28" s="71">
        <v>1.256E-3</v>
      </c>
      <c r="O28" s="76">
        <v>4.8489999999999998E-2</v>
      </c>
    </row>
    <row r="29" spans="1:15" ht="13.5" thickBot="1" x14ac:dyDescent="0.25">
      <c r="A29" s="79">
        <v>2.6</v>
      </c>
      <c r="B29" s="26">
        <v>140</v>
      </c>
      <c r="C29" s="27">
        <v>589.17580000000009</v>
      </c>
      <c r="D29" s="28">
        <v>2143.8742000000002</v>
      </c>
      <c r="E29" s="28">
        <v>2733.05</v>
      </c>
      <c r="F29" s="71">
        <v>1.08E-3</v>
      </c>
      <c r="G29" s="73">
        <v>0.50860000000000005</v>
      </c>
      <c r="H29" s="24"/>
      <c r="I29" s="80">
        <v>45</v>
      </c>
      <c r="J29" s="26">
        <v>258.8</v>
      </c>
      <c r="K29" s="27">
        <v>1128.8078</v>
      </c>
      <c r="L29" s="28">
        <v>1668.2072000000001</v>
      </c>
      <c r="M29" s="28">
        <v>2797.0150000000003</v>
      </c>
      <c r="N29" s="71">
        <v>1.273E-3</v>
      </c>
      <c r="O29" s="76">
        <v>4.3029999999999999E-2</v>
      </c>
    </row>
    <row r="30" spans="1:15" ht="13.5" thickBot="1" x14ac:dyDescent="0.25">
      <c r="A30" s="83">
        <v>2.8</v>
      </c>
      <c r="B30" s="26">
        <v>141.9</v>
      </c>
      <c r="C30" s="27">
        <v>597.31680000000006</v>
      </c>
      <c r="D30" s="28">
        <v>2138.2918</v>
      </c>
      <c r="E30" s="28">
        <v>2735.6086</v>
      </c>
      <c r="F30" s="71">
        <v>1.0820000000000001E-3</v>
      </c>
      <c r="G30" s="73">
        <v>0.48349999999999999</v>
      </c>
      <c r="H30" s="24"/>
      <c r="I30" s="81">
        <v>50</v>
      </c>
      <c r="J30" s="26">
        <v>265.2</v>
      </c>
      <c r="K30" s="27">
        <v>1160.9066</v>
      </c>
      <c r="L30" s="28">
        <v>1632.6194</v>
      </c>
      <c r="M30" s="28">
        <v>2793.5259999999998</v>
      </c>
      <c r="N30" s="71">
        <v>1.289E-3</v>
      </c>
      <c r="O30" s="76">
        <v>3.8600000000000002E-2</v>
      </c>
    </row>
    <row r="31" spans="1:15" ht="13.5" thickBot="1" x14ac:dyDescent="0.25">
      <c r="A31" s="84">
        <v>3</v>
      </c>
      <c r="B31" s="34">
        <v>143.69999999999999</v>
      </c>
      <c r="C31" s="35">
        <v>605.22519999999997</v>
      </c>
      <c r="D31" s="36">
        <v>2132.4767999999999</v>
      </c>
      <c r="E31" s="36">
        <v>2737.7019999999998</v>
      </c>
      <c r="F31" s="72">
        <v>1.0839999999999999E-3</v>
      </c>
      <c r="G31" s="74">
        <v>0.46079999999999999</v>
      </c>
      <c r="H31" s="24"/>
      <c r="I31" s="80">
        <v>55</v>
      </c>
      <c r="J31" s="26">
        <v>271.10000000000002</v>
      </c>
      <c r="K31" s="27">
        <v>1190.912</v>
      </c>
      <c r="L31" s="28">
        <v>1598.1946</v>
      </c>
      <c r="M31" s="28">
        <v>2789.1066000000001</v>
      </c>
      <c r="N31" s="71">
        <v>1.3060000000000001E-3</v>
      </c>
      <c r="O31" s="76">
        <v>3.4939999999999999E-2</v>
      </c>
    </row>
    <row r="32" spans="1:15" x14ac:dyDescent="0.2">
      <c r="A32" s="79">
        <v>3.2</v>
      </c>
      <c r="B32" s="26">
        <v>145.5</v>
      </c>
      <c r="C32" s="27">
        <v>612.66840000000002</v>
      </c>
      <c r="D32" s="28">
        <v>2127.127</v>
      </c>
      <c r="E32" s="28">
        <v>2739.7954</v>
      </c>
      <c r="F32" s="71">
        <v>1.0859999999999999E-3</v>
      </c>
      <c r="G32" s="73">
        <v>0.44019999999999998</v>
      </c>
      <c r="H32" s="24"/>
      <c r="I32" s="81">
        <v>60</v>
      </c>
      <c r="J32" s="26">
        <v>276.60000000000002</v>
      </c>
      <c r="K32" s="27">
        <v>1219.2892000000002</v>
      </c>
      <c r="L32" s="28">
        <v>1564.4676000000002</v>
      </c>
      <c r="M32" s="28">
        <v>2783.7568000000001</v>
      </c>
      <c r="N32" s="71">
        <v>1.322E-3</v>
      </c>
      <c r="O32" s="76">
        <v>3.1859999999999999E-2</v>
      </c>
    </row>
    <row r="33" spans="1:15" ht="13.5" thickBot="1" x14ac:dyDescent="0.25">
      <c r="A33" s="79">
        <v>3.4</v>
      </c>
      <c r="B33" s="26">
        <v>147.19999999999999</v>
      </c>
      <c r="C33" s="27">
        <v>620.11160000000007</v>
      </c>
      <c r="D33" s="28">
        <v>2122.0097999999998</v>
      </c>
      <c r="E33" s="28">
        <v>2742.1214</v>
      </c>
      <c r="F33" s="71">
        <v>1.088E-3</v>
      </c>
      <c r="G33" s="73">
        <v>0.4214</v>
      </c>
      <c r="H33" s="24"/>
      <c r="I33" s="80">
        <v>65</v>
      </c>
      <c r="J33" s="34">
        <v>281.8</v>
      </c>
      <c r="K33" s="35">
        <v>1246.5034000000001</v>
      </c>
      <c r="L33" s="36">
        <v>1531.671</v>
      </c>
      <c r="M33" s="36">
        <v>2778.1743999999999</v>
      </c>
      <c r="N33" s="72">
        <v>1.338E-3</v>
      </c>
      <c r="O33" s="77">
        <v>2.9219999999999999E-2</v>
      </c>
    </row>
    <row r="34" spans="1:15" x14ac:dyDescent="0.2">
      <c r="A34" s="79">
        <v>3.6</v>
      </c>
      <c r="B34" s="26">
        <v>148.80000000000001</v>
      </c>
      <c r="C34" s="27">
        <v>627.08960000000002</v>
      </c>
      <c r="D34" s="28">
        <v>2116.8926000000001</v>
      </c>
      <c r="E34" s="28">
        <v>2743.9822000000004</v>
      </c>
      <c r="F34" s="71">
        <v>1.09E-3</v>
      </c>
      <c r="G34" s="73">
        <v>0.4042</v>
      </c>
      <c r="H34" s="24"/>
      <c r="I34" s="81">
        <v>70</v>
      </c>
      <c r="J34" s="26">
        <v>286.7</v>
      </c>
      <c r="K34" s="27">
        <v>1272.5546000000002</v>
      </c>
      <c r="L34" s="28">
        <v>1499.5722000000001</v>
      </c>
      <c r="M34" s="28">
        <v>2772.1268</v>
      </c>
      <c r="N34" s="71">
        <v>1.3550000000000001E-3</v>
      </c>
      <c r="O34" s="76">
        <v>2.6950000000000002E-2</v>
      </c>
    </row>
    <row r="35" spans="1:15" ht="13.5" thickBot="1" x14ac:dyDescent="0.25">
      <c r="A35" s="83">
        <v>3.8</v>
      </c>
      <c r="B35" s="26">
        <v>150.4</v>
      </c>
      <c r="C35" s="27">
        <v>633.83500000000004</v>
      </c>
      <c r="D35" s="28">
        <v>2111.7754</v>
      </c>
      <c r="E35" s="28">
        <v>2745.6104</v>
      </c>
      <c r="F35" s="71">
        <v>1.091E-3</v>
      </c>
      <c r="G35" s="73">
        <v>0.38829999999999998</v>
      </c>
      <c r="H35" s="24"/>
      <c r="I35" s="80">
        <v>75</v>
      </c>
      <c r="J35" s="26">
        <v>291.39999999999998</v>
      </c>
      <c r="K35" s="27">
        <v>1297.6754000000001</v>
      </c>
      <c r="L35" s="28">
        <v>1467.7060000000001</v>
      </c>
      <c r="M35" s="28">
        <v>2765.3814000000002</v>
      </c>
      <c r="N35" s="71">
        <v>1.371E-3</v>
      </c>
      <c r="O35" s="76">
        <v>2.495E-2</v>
      </c>
    </row>
    <row r="36" spans="1:15" x14ac:dyDescent="0.2">
      <c r="A36" s="84">
        <v>4</v>
      </c>
      <c r="B36" s="26">
        <v>151.9</v>
      </c>
      <c r="C36" s="27">
        <v>640.58039999999994</v>
      </c>
      <c r="D36" s="28">
        <v>2107.1233999999999</v>
      </c>
      <c r="E36" s="28">
        <v>2747.7037999999998</v>
      </c>
      <c r="F36" s="71">
        <v>1.093E-3</v>
      </c>
      <c r="G36" s="73">
        <v>0.37369999999999998</v>
      </c>
      <c r="H36" s="24"/>
      <c r="I36" s="81">
        <v>80</v>
      </c>
      <c r="J36" s="26">
        <v>295.8</v>
      </c>
      <c r="K36" s="27">
        <v>1322.0984000000001</v>
      </c>
      <c r="L36" s="28">
        <v>1436.5376000000001</v>
      </c>
      <c r="M36" s="28">
        <v>2758.6360000000004</v>
      </c>
      <c r="N36" s="71">
        <v>1.3879999999999999E-3</v>
      </c>
      <c r="O36" s="76">
        <v>2.3199999999999998E-2</v>
      </c>
    </row>
    <row r="37" spans="1:15" ht="13.5" thickBot="1" x14ac:dyDescent="0.25">
      <c r="A37" s="83">
        <v>4.5</v>
      </c>
      <c r="B37" s="34">
        <v>155.6</v>
      </c>
      <c r="C37" s="35">
        <v>656.16460000000006</v>
      </c>
      <c r="D37" s="36">
        <v>2095.4933999999998</v>
      </c>
      <c r="E37" s="36">
        <v>2751.6579999999999</v>
      </c>
      <c r="F37" s="72">
        <v>1.0970000000000001E-3</v>
      </c>
      <c r="G37" s="74">
        <v>0.3417</v>
      </c>
      <c r="H37" s="24"/>
      <c r="I37" s="80">
        <v>85</v>
      </c>
      <c r="J37" s="26">
        <v>300.10000000000002</v>
      </c>
      <c r="K37" s="27">
        <v>1345.5910000000001</v>
      </c>
      <c r="L37" s="28">
        <v>1405.6017999999999</v>
      </c>
      <c r="M37" s="28">
        <v>2751.1927999999998</v>
      </c>
      <c r="N37" s="71">
        <v>1.4040000000000001E-3</v>
      </c>
      <c r="O37" s="76">
        <v>2.162E-2</v>
      </c>
    </row>
    <row r="38" spans="1:15" ht="13.5" thickBot="1" x14ac:dyDescent="0.25">
      <c r="A38" s="84">
        <v>5</v>
      </c>
      <c r="B38" s="26">
        <v>158.9</v>
      </c>
      <c r="C38" s="27">
        <v>670.8184</v>
      </c>
      <c r="D38" s="28">
        <v>2084.7937999999999</v>
      </c>
      <c r="E38" s="28">
        <v>2755.6122</v>
      </c>
      <c r="F38" s="71">
        <v>1.101E-3</v>
      </c>
      <c r="G38" s="73">
        <v>0.31480000000000002</v>
      </c>
      <c r="H38" s="24"/>
      <c r="I38" s="81">
        <v>90</v>
      </c>
      <c r="J38" s="34">
        <v>304.10000000000002</v>
      </c>
      <c r="K38" s="35">
        <v>1368.1532000000002</v>
      </c>
      <c r="L38" s="36">
        <v>1374.6659999999999</v>
      </c>
      <c r="M38" s="36">
        <v>2742.8191999999999</v>
      </c>
      <c r="N38" s="72">
        <v>1.421E-3</v>
      </c>
      <c r="O38" s="77">
        <v>2.0230000000000001E-2</v>
      </c>
    </row>
    <row r="39" spans="1:15" ht="13.5" thickBot="1" x14ac:dyDescent="0.25">
      <c r="A39" s="83">
        <v>5.5</v>
      </c>
      <c r="B39" s="26">
        <v>162.1</v>
      </c>
      <c r="C39" s="27">
        <v>684.54180000000008</v>
      </c>
      <c r="D39" s="28">
        <v>2074.3267999999998</v>
      </c>
      <c r="E39" s="28">
        <v>2758.8685999999998</v>
      </c>
      <c r="F39" s="71">
        <v>1.1050000000000001E-3</v>
      </c>
      <c r="G39" s="73">
        <v>0.29189999999999999</v>
      </c>
      <c r="H39" s="24"/>
      <c r="I39" s="80">
        <v>95</v>
      </c>
      <c r="J39" s="26">
        <v>308</v>
      </c>
      <c r="K39" s="27">
        <v>1390.4828</v>
      </c>
      <c r="L39" s="28">
        <v>1344.1954000000001</v>
      </c>
      <c r="M39" s="28">
        <v>2734.6782000000003</v>
      </c>
      <c r="N39" s="71">
        <v>1.438E-3</v>
      </c>
      <c r="O39" s="76">
        <v>1.8970000000000001E-2</v>
      </c>
    </row>
    <row r="40" spans="1:15" x14ac:dyDescent="0.2">
      <c r="A40" s="84">
        <v>6</v>
      </c>
      <c r="B40" s="26">
        <v>165</v>
      </c>
      <c r="C40" s="27">
        <v>697.33480000000009</v>
      </c>
      <c r="D40" s="28">
        <v>2064.7902000000004</v>
      </c>
      <c r="E40" s="28">
        <v>2762.1250000000005</v>
      </c>
      <c r="F40" s="71">
        <v>1.109E-3</v>
      </c>
      <c r="G40" s="73">
        <v>0.2722</v>
      </c>
      <c r="H40" s="24"/>
      <c r="I40" s="81">
        <v>100</v>
      </c>
      <c r="J40" s="26">
        <v>311.7</v>
      </c>
      <c r="K40" s="27">
        <v>1412.3472000000002</v>
      </c>
      <c r="L40" s="28">
        <v>1313.7248</v>
      </c>
      <c r="M40" s="28">
        <v>2726.0720000000001</v>
      </c>
      <c r="N40" s="71">
        <v>1.456E-3</v>
      </c>
      <c r="O40" s="76">
        <v>1.7819999999999999E-2</v>
      </c>
    </row>
    <row r="41" spans="1:15" ht="13.5" thickBot="1" x14ac:dyDescent="0.25">
      <c r="A41" s="83">
        <v>6.5</v>
      </c>
      <c r="B41" s="26">
        <v>167.8</v>
      </c>
      <c r="C41" s="27">
        <v>709.66260000000011</v>
      </c>
      <c r="D41" s="28">
        <v>2055.2536</v>
      </c>
      <c r="E41" s="28">
        <v>2764.9162000000001</v>
      </c>
      <c r="F41" s="71">
        <v>1.1119999999999999E-3</v>
      </c>
      <c r="G41" s="73">
        <v>0.255</v>
      </c>
      <c r="H41" s="24"/>
      <c r="I41" s="82">
        <v>105</v>
      </c>
      <c r="J41" s="26">
        <v>315.3</v>
      </c>
      <c r="K41" s="27">
        <v>1433.7464</v>
      </c>
      <c r="L41" s="28">
        <v>1283.0216</v>
      </c>
      <c r="M41" s="28">
        <v>2716.768</v>
      </c>
      <c r="N41" s="71">
        <v>1.474E-3</v>
      </c>
      <c r="O41" s="76">
        <v>1.6789999999999999E-2</v>
      </c>
    </row>
    <row r="42" spans="1:15" x14ac:dyDescent="0.2">
      <c r="A42" s="84">
        <v>7</v>
      </c>
      <c r="B42" s="26">
        <v>170.5</v>
      </c>
      <c r="C42" s="27">
        <v>721.29260000000011</v>
      </c>
      <c r="D42" s="28">
        <v>2046.4148</v>
      </c>
      <c r="E42" s="28">
        <v>2767.7074000000002</v>
      </c>
      <c r="F42" s="71">
        <v>1.1150000000000001E-3</v>
      </c>
      <c r="G42" s="73">
        <v>0.2399</v>
      </c>
      <c r="H42" s="24"/>
      <c r="I42" s="82">
        <v>110</v>
      </c>
      <c r="J42" s="26">
        <v>318.7</v>
      </c>
      <c r="K42" s="27">
        <v>1454.6804</v>
      </c>
      <c r="L42" s="28">
        <v>1252.5509999999999</v>
      </c>
      <c r="M42" s="28">
        <v>2707.2313999999997</v>
      </c>
      <c r="N42" s="71">
        <v>1.493E-3</v>
      </c>
      <c r="O42" s="76">
        <v>1.5820000000000001E-2</v>
      </c>
    </row>
    <row r="43" spans="1:15" ht="13.5" thickBot="1" x14ac:dyDescent="0.25">
      <c r="A43" s="83">
        <v>7.5</v>
      </c>
      <c r="B43" s="34">
        <v>173</v>
      </c>
      <c r="C43" s="35">
        <v>732.22480000000007</v>
      </c>
      <c r="D43" s="36">
        <v>2037.8086000000001</v>
      </c>
      <c r="E43" s="36">
        <v>2770.0334000000003</v>
      </c>
      <c r="F43" s="72">
        <v>1.1180000000000001E-3</v>
      </c>
      <c r="G43" s="74">
        <v>0.22650000000000001</v>
      </c>
      <c r="H43" s="24"/>
      <c r="I43" s="82">
        <v>115</v>
      </c>
      <c r="J43" s="34">
        <v>322.10000000000002</v>
      </c>
      <c r="K43" s="35">
        <v>1475.6143999999999</v>
      </c>
      <c r="L43" s="36">
        <v>1221.8478</v>
      </c>
      <c r="M43" s="36">
        <v>2697.4621999999999</v>
      </c>
      <c r="N43" s="72">
        <v>1.511E-3</v>
      </c>
      <c r="O43" s="77">
        <v>1.495E-2</v>
      </c>
    </row>
    <row r="44" spans="1:15" ht="13.5" thickBot="1" x14ac:dyDescent="0.25">
      <c r="A44" s="84">
        <v>8</v>
      </c>
      <c r="B44" s="26">
        <v>175.4</v>
      </c>
      <c r="C44" s="27">
        <v>742.92439999999999</v>
      </c>
      <c r="D44" s="28">
        <v>2029.2023999999999</v>
      </c>
      <c r="E44" s="28">
        <v>2772.1268</v>
      </c>
      <c r="F44" s="71">
        <v>1.122E-3</v>
      </c>
      <c r="G44" s="73">
        <v>0.2145</v>
      </c>
      <c r="H44" s="24"/>
      <c r="I44" s="80">
        <v>120</v>
      </c>
      <c r="J44" s="26">
        <v>325.3</v>
      </c>
      <c r="K44" s="27">
        <v>1495.8506</v>
      </c>
      <c r="L44" s="28">
        <v>1191.1446000000001</v>
      </c>
      <c r="M44" s="28">
        <v>2686.9952000000003</v>
      </c>
      <c r="N44" s="71">
        <v>1.531E-3</v>
      </c>
      <c r="O44" s="76">
        <v>1.414E-2</v>
      </c>
    </row>
    <row r="45" spans="1:15" ht="13.5" thickBot="1" x14ac:dyDescent="0.25">
      <c r="A45" s="83">
        <v>8.5</v>
      </c>
      <c r="B45" s="34">
        <v>177.7</v>
      </c>
      <c r="C45" s="35">
        <v>753.15880000000004</v>
      </c>
      <c r="D45" s="36">
        <v>2021.0614</v>
      </c>
      <c r="E45" s="36">
        <v>2774.2202000000002</v>
      </c>
      <c r="F45" s="72">
        <v>1.124E-3</v>
      </c>
      <c r="G45" s="74">
        <v>0.20380000000000001</v>
      </c>
      <c r="H45" s="24"/>
      <c r="I45" s="81">
        <v>125</v>
      </c>
      <c r="J45" s="34">
        <v>328.4</v>
      </c>
      <c r="K45" s="35">
        <v>1516.0868</v>
      </c>
      <c r="L45" s="36">
        <v>1159.9762000000001</v>
      </c>
      <c r="M45" s="36">
        <v>2676.0630000000001</v>
      </c>
      <c r="N45" s="72">
        <v>1.5510000000000001E-3</v>
      </c>
      <c r="O45" s="77">
        <v>1.337E-2</v>
      </c>
    </row>
    <row r="46" spans="1:15" x14ac:dyDescent="0.2">
      <c r="A46" s="84">
        <v>9</v>
      </c>
      <c r="B46" s="26">
        <v>179.9</v>
      </c>
      <c r="C46" s="27">
        <v>762.69539999999995</v>
      </c>
      <c r="D46" s="28">
        <v>2013.3856000000001</v>
      </c>
      <c r="E46" s="28">
        <v>2776.0810000000001</v>
      </c>
      <c r="F46" s="71">
        <v>1.127E-3</v>
      </c>
      <c r="G46" s="73">
        <v>0.19400000000000001</v>
      </c>
      <c r="H46" s="24"/>
      <c r="I46" s="82">
        <v>130</v>
      </c>
      <c r="J46" s="26">
        <v>331.4</v>
      </c>
      <c r="K46" s="27">
        <v>1536.0904</v>
      </c>
      <c r="L46" s="28">
        <v>1128.5752</v>
      </c>
      <c r="M46" s="28">
        <v>2664.6656000000003</v>
      </c>
      <c r="N46" s="71">
        <v>1.5709999999999999E-3</v>
      </c>
      <c r="O46" s="76">
        <v>1.2659999999999999E-2</v>
      </c>
    </row>
    <row r="47" spans="1:15" ht="13.5" thickBot="1" x14ac:dyDescent="0.25">
      <c r="A47" s="83">
        <v>9.5</v>
      </c>
      <c r="B47" s="34">
        <v>182.1</v>
      </c>
      <c r="C47" s="35">
        <v>772.23199999999997</v>
      </c>
      <c r="D47" s="36">
        <v>2005.7097999999999</v>
      </c>
      <c r="E47" s="36">
        <v>2777.9417999999996</v>
      </c>
      <c r="F47" s="72">
        <v>1.1299999999999999E-3</v>
      </c>
      <c r="G47" s="74">
        <v>0.1852</v>
      </c>
      <c r="H47" s="24"/>
      <c r="I47" s="82">
        <v>135</v>
      </c>
      <c r="J47" s="34">
        <v>334.3</v>
      </c>
      <c r="K47" s="35">
        <v>1555.8614</v>
      </c>
      <c r="L47" s="36">
        <v>1096.4764</v>
      </c>
      <c r="M47" s="36">
        <v>2652.3378000000002</v>
      </c>
      <c r="N47" s="72">
        <v>1.593E-3</v>
      </c>
      <c r="O47" s="77">
        <v>1.2E-2</v>
      </c>
    </row>
    <row r="48" spans="1:15" x14ac:dyDescent="0.2">
      <c r="A48" s="84">
        <v>10</v>
      </c>
      <c r="B48" s="26">
        <v>184.1</v>
      </c>
      <c r="C48" s="27">
        <v>781.53600000000006</v>
      </c>
      <c r="D48" s="28">
        <v>1998.2666000000002</v>
      </c>
      <c r="E48" s="28">
        <v>2779.8026</v>
      </c>
      <c r="F48" s="71">
        <v>1.1329999999999999E-3</v>
      </c>
      <c r="G48" s="73">
        <v>0.1772</v>
      </c>
      <c r="H48" s="24"/>
      <c r="I48" s="82">
        <v>140</v>
      </c>
      <c r="J48" s="26">
        <v>337.2</v>
      </c>
      <c r="K48" s="27">
        <v>1575.6324</v>
      </c>
      <c r="L48" s="28">
        <v>1063.9123999999999</v>
      </c>
      <c r="M48" s="28">
        <v>2639.5447999999997</v>
      </c>
      <c r="N48" s="71">
        <v>1.6149999999999999E-3</v>
      </c>
      <c r="O48" s="76">
        <v>1.1379999999999999E-2</v>
      </c>
    </row>
    <row r="49" spans="1:15" ht="13.5" thickBot="1" x14ac:dyDescent="0.25">
      <c r="A49" s="83">
        <v>10.5</v>
      </c>
      <c r="B49" s="34">
        <v>186.1</v>
      </c>
      <c r="C49" s="35">
        <v>790.1422</v>
      </c>
      <c r="D49" s="36">
        <v>1991.2886000000001</v>
      </c>
      <c r="E49" s="36">
        <v>2781.4308000000001</v>
      </c>
      <c r="F49" s="72">
        <v>1.1360000000000001E-3</v>
      </c>
      <c r="G49" s="74">
        <v>0.16980000000000001</v>
      </c>
      <c r="H49" s="24"/>
      <c r="I49" s="80">
        <v>145</v>
      </c>
      <c r="J49" s="34">
        <v>340</v>
      </c>
      <c r="K49" s="35">
        <v>1595.4033999999999</v>
      </c>
      <c r="L49" s="36">
        <v>1030.8832</v>
      </c>
      <c r="M49" s="36">
        <v>2626.2865999999999</v>
      </c>
      <c r="N49" s="72">
        <v>1.6379999999999999E-3</v>
      </c>
      <c r="O49" s="77">
        <v>1.0789999999999999E-2</v>
      </c>
    </row>
    <row r="50" spans="1:15" x14ac:dyDescent="0.2">
      <c r="A50" s="84">
        <v>11</v>
      </c>
      <c r="B50" s="26">
        <v>188</v>
      </c>
      <c r="C50" s="27">
        <v>798.51580000000001</v>
      </c>
      <c r="D50" s="28">
        <v>1984.078</v>
      </c>
      <c r="E50" s="28">
        <v>2782.5938000000001</v>
      </c>
      <c r="F50" s="71">
        <v>1.139E-3</v>
      </c>
      <c r="G50" s="73">
        <v>0.16300000000000001</v>
      </c>
      <c r="H50" s="24"/>
      <c r="I50" s="81">
        <v>150</v>
      </c>
      <c r="J50" s="26">
        <v>342.7</v>
      </c>
      <c r="K50" s="27">
        <v>1615.1744000000001</v>
      </c>
      <c r="L50" s="28">
        <v>996.92360000000008</v>
      </c>
      <c r="M50" s="28">
        <v>2612.098</v>
      </c>
      <c r="N50" s="71">
        <v>1.663E-3</v>
      </c>
      <c r="O50" s="76">
        <v>1.023E-2</v>
      </c>
    </row>
    <row r="51" spans="1:15" ht="13.5" thickBot="1" x14ac:dyDescent="0.25">
      <c r="A51" s="83">
        <v>11.5</v>
      </c>
      <c r="B51" s="34">
        <v>189.9</v>
      </c>
      <c r="C51" s="35">
        <v>806.88940000000002</v>
      </c>
      <c r="D51" s="36">
        <v>1977.3326000000002</v>
      </c>
      <c r="E51" s="36">
        <v>2784.2220000000002</v>
      </c>
      <c r="F51" s="72">
        <v>1.1410000000000001E-3</v>
      </c>
      <c r="G51" s="74">
        <v>0.15679999999999999</v>
      </c>
      <c r="H51" s="24"/>
      <c r="I51" s="82">
        <v>155</v>
      </c>
      <c r="J51" s="34">
        <v>345.3</v>
      </c>
      <c r="K51" s="35">
        <v>1634.7128</v>
      </c>
      <c r="L51" s="36">
        <v>962.26620000000003</v>
      </c>
      <c r="M51" s="36">
        <v>2596.9790000000003</v>
      </c>
      <c r="N51" s="72">
        <v>1.689E-3</v>
      </c>
      <c r="O51" s="77">
        <v>9.7120000000000001E-3</v>
      </c>
    </row>
    <row r="52" spans="1:15" ht="13.5" thickBot="1" x14ac:dyDescent="0.25">
      <c r="A52" s="84">
        <v>12</v>
      </c>
      <c r="B52" s="26">
        <v>191.7</v>
      </c>
      <c r="C52" s="27">
        <v>814.79780000000005</v>
      </c>
      <c r="D52" s="28">
        <v>1970.5872000000002</v>
      </c>
      <c r="E52" s="28">
        <v>2785.3850000000002</v>
      </c>
      <c r="F52" s="71">
        <v>1.1440000000000001E-3</v>
      </c>
      <c r="G52" s="73">
        <v>0.151</v>
      </c>
      <c r="H52" s="24"/>
      <c r="I52" s="82">
        <v>160</v>
      </c>
      <c r="J52" s="34">
        <v>347.8</v>
      </c>
      <c r="K52" s="35">
        <v>1654.7164</v>
      </c>
      <c r="L52" s="36">
        <v>926.91100000000006</v>
      </c>
      <c r="M52" s="36">
        <v>2581.6274000000003</v>
      </c>
      <c r="N52" s="72">
        <v>1.7160000000000001E-3</v>
      </c>
      <c r="O52" s="77">
        <v>9.214E-3</v>
      </c>
    </row>
    <row r="53" spans="1:15" ht="13.5" thickBot="1" x14ac:dyDescent="0.25">
      <c r="A53" s="83">
        <v>12.5</v>
      </c>
      <c r="B53" s="34">
        <v>193.4</v>
      </c>
      <c r="C53" s="35">
        <v>822.70619999999997</v>
      </c>
      <c r="D53" s="36">
        <v>1964.0744</v>
      </c>
      <c r="E53" s="36">
        <v>2786.7806</v>
      </c>
      <c r="F53" s="72">
        <v>1.1460000000000001E-3</v>
      </c>
      <c r="G53" s="74">
        <v>0.14560000000000001</v>
      </c>
      <c r="H53" s="24"/>
      <c r="I53" s="82">
        <v>165</v>
      </c>
      <c r="J53" s="34">
        <v>350.3</v>
      </c>
      <c r="K53" s="35">
        <v>1674.72</v>
      </c>
      <c r="L53" s="36">
        <v>890.85800000000006</v>
      </c>
      <c r="M53" s="36">
        <v>2565.578</v>
      </c>
      <c r="N53" s="72">
        <v>1.745E-3</v>
      </c>
      <c r="O53" s="77">
        <v>8.7379999999999992E-3</v>
      </c>
    </row>
    <row r="54" spans="1:15" ht="13.5" thickBot="1" x14ac:dyDescent="0.25">
      <c r="A54" s="84">
        <v>13</v>
      </c>
      <c r="B54" s="26">
        <v>195.1</v>
      </c>
      <c r="C54" s="27">
        <v>830.14940000000001</v>
      </c>
      <c r="D54" s="28">
        <v>1957.5616</v>
      </c>
      <c r="E54" s="28">
        <v>2787.7110000000002</v>
      </c>
      <c r="F54" s="71">
        <v>1.1490000000000001E-3</v>
      </c>
      <c r="G54" s="73">
        <v>0.1406</v>
      </c>
      <c r="H54" s="24"/>
      <c r="I54" s="80">
        <v>170</v>
      </c>
      <c r="J54" s="26">
        <v>352.7</v>
      </c>
      <c r="K54" s="27">
        <v>1696.1192000000001</v>
      </c>
      <c r="L54" s="28">
        <v>851.78120000000001</v>
      </c>
      <c r="M54" s="28">
        <v>2547.9004</v>
      </c>
      <c r="N54" s="71">
        <v>1.776E-3</v>
      </c>
      <c r="O54" s="76">
        <v>8.2819999999999994E-3</v>
      </c>
    </row>
    <row r="55" spans="1:15" ht="13.5" thickBot="1" x14ac:dyDescent="0.25">
      <c r="A55" s="83">
        <v>13.5</v>
      </c>
      <c r="B55" s="34">
        <v>196.7</v>
      </c>
      <c r="C55" s="35">
        <v>837.59260000000006</v>
      </c>
      <c r="D55" s="36">
        <v>1951.2814000000001</v>
      </c>
      <c r="E55" s="36">
        <v>2788.8740000000003</v>
      </c>
      <c r="F55" s="72">
        <v>1.1509999999999999E-3</v>
      </c>
      <c r="G55" s="74">
        <v>0.13589999999999999</v>
      </c>
      <c r="H55" s="24"/>
      <c r="I55" s="81">
        <v>175</v>
      </c>
      <c r="J55" s="26">
        <v>355.1</v>
      </c>
      <c r="K55" s="27">
        <v>1717.751</v>
      </c>
      <c r="L55" s="28">
        <v>811.54139999999995</v>
      </c>
      <c r="M55" s="28">
        <v>2529.2923999999998</v>
      </c>
      <c r="N55" s="71">
        <v>1.8109999999999999E-3</v>
      </c>
      <c r="O55" s="76">
        <v>7.842E-3</v>
      </c>
    </row>
    <row r="56" spans="1:15" x14ac:dyDescent="0.2">
      <c r="A56" s="84">
        <v>14</v>
      </c>
      <c r="B56" s="26">
        <v>198.3</v>
      </c>
      <c r="C56" s="27">
        <v>845.03579999999999</v>
      </c>
      <c r="D56" s="28">
        <v>1945.0012000000002</v>
      </c>
      <c r="E56" s="28">
        <v>2790.0370000000003</v>
      </c>
      <c r="F56" s="71">
        <v>1.1540000000000001E-3</v>
      </c>
      <c r="G56" s="73">
        <v>0.13159999999999999</v>
      </c>
      <c r="H56" s="24"/>
      <c r="I56" s="82">
        <v>180</v>
      </c>
      <c r="J56" s="26">
        <v>357.4</v>
      </c>
      <c r="K56" s="27">
        <v>1739.1502000000003</v>
      </c>
      <c r="L56" s="28">
        <v>770.37120000000004</v>
      </c>
      <c r="M56" s="28">
        <v>2509.5214000000005</v>
      </c>
      <c r="N56" s="71">
        <v>1.8489999999999999E-3</v>
      </c>
      <c r="O56" s="76">
        <v>7.4149999999999997E-3</v>
      </c>
    </row>
    <row r="57" spans="1:15" ht="13.5" thickBot="1" x14ac:dyDescent="0.25">
      <c r="A57" s="83">
        <v>14.5</v>
      </c>
      <c r="B57" s="34">
        <v>199.9</v>
      </c>
      <c r="C57" s="35">
        <v>851.78120000000001</v>
      </c>
      <c r="D57" s="36">
        <v>1938.9536000000001</v>
      </c>
      <c r="E57" s="36">
        <v>2790.7348000000002</v>
      </c>
      <c r="F57" s="72">
        <v>1.1559999999999999E-3</v>
      </c>
      <c r="G57" s="74">
        <v>0.12740000000000001</v>
      </c>
      <c r="H57" s="24"/>
      <c r="I57" s="82">
        <v>185</v>
      </c>
      <c r="J57" s="34">
        <v>359.7</v>
      </c>
      <c r="K57" s="35">
        <v>1760.7820000000002</v>
      </c>
      <c r="L57" s="36">
        <v>727.57280000000003</v>
      </c>
      <c r="M57" s="36">
        <v>2488.3548000000001</v>
      </c>
      <c r="N57" s="72">
        <v>1.89E-3</v>
      </c>
      <c r="O57" s="77">
        <v>7.0000000000000001E-3</v>
      </c>
    </row>
    <row r="58" spans="1:15" x14ac:dyDescent="0.2">
      <c r="A58" s="84">
        <v>15</v>
      </c>
      <c r="B58" s="26">
        <v>201.4</v>
      </c>
      <c r="C58" s="27">
        <v>858.75919999999996</v>
      </c>
      <c r="D58" s="28">
        <v>1932.9059999999999</v>
      </c>
      <c r="E58" s="28">
        <v>2791.6651999999999</v>
      </c>
      <c r="F58" s="71">
        <v>1.1590000000000001E-3</v>
      </c>
      <c r="G58" s="73">
        <v>0.1236</v>
      </c>
      <c r="H58" s="24"/>
      <c r="I58" s="82">
        <v>190</v>
      </c>
      <c r="J58" s="26">
        <v>361.9</v>
      </c>
      <c r="K58" s="27">
        <v>1783.3442000000002</v>
      </c>
      <c r="L58" s="28">
        <v>681.75060000000008</v>
      </c>
      <c r="M58" s="28">
        <v>2465.0948000000003</v>
      </c>
      <c r="N58" s="71">
        <v>1.9369999999999999E-3</v>
      </c>
      <c r="O58" s="76">
        <v>6.5970000000000004E-3</v>
      </c>
    </row>
    <row r="59" spans="1:15" ht="13.5" thickBot="1" x14ac:dyDescent="0.25">
      <c r="A59" s="83">
        <v>15.5</v>
      </c>
      <c r="B59" s="34">
        <v>202.9</v>
      </c>
      <c r="C59" s="35">
        <v>865.5046000000001</v>
      </c>
      <c r="D59" s="36">
        <v>1927.3236000000002</v>
      </c>
      <c r="E59" s="36">
        <v>2792.8282000000004</v>
      </c>
      <c r="F59" s="72">
        <v>1.1609999999999999E-3</v>
      </c>
      <c r="G59" s="74">
        <v>0.12</v>
      </c>
      <c r="H59" s="24"/>
      <c r="I59" s="80">
        <v>195</v>
      </c>
      <c r="J59" s="26">
        <v>364</v>
      </c>
      <c r="K59" s="27">
        <v>1807.0694000000001</v>
      </c>
      <c r="L59" s="28">
        <v>632.67200000000003</v>
      </c>
      <c r="M59" s="28">
        <v>2439.7413999999999</v>
      </c>
      <c r="N59" s="71">
        <v>1.9910000000000001E-3</v>
      </c>
      <c r="O59" s="76">
        <v>6.1960000000000001E-3</v>
      </c>
    </row>
    <row r="60" spans="1:15" x14ac:dyDescent="0.2">
      <c r="A60" s="84">
        <v>16</v>
      </c>
      <c r="B60" s="26">
        <v>204.3</v>
      </c>
      <c r="C60" s="27">
        <v>872.01739999999995</v>
      </c>
      <c r="D60" s="28">
        <v>1921.2760000000001</v>
      </c>
      <c r="E60" s="28">
        <v>2793.2934</v>
      </c>
      <c r="F60" s="71">
        <v>1.163E-3</v>
      </c>
      <c r="G60" s="73">
        <v>0.11650000000000001</v>
      </c>
      <c r="H60" s="24"/>
      <c r="I60" s="81">
        <v>200</v>
      </c>
      <c r="J60" s="26">
        <v>366.1</v>
      </c>
      <c r="K60" s="27">
        <v>1832.1902000000002</v>
      </c>
      <c r="L60" s="28">
        <v>579.40660000000003</v>
      </c>
      <c r="M60" s="28">
        <v>2411.5968000000003</v>
      </c>
      <c r="N60" s="71">
        <v>2.052E-3</v>
      </c>
      <c r="O60" s="76">
        <v>5.7920000000000003E-3</v>
      </c>
    </row>
    <row r="61" spans="1:15" ht="13.5" thickBot="1" x14ac:dyDescent="0.25">
      <c r="A61" s="83">
        <v>16.5</v>
      </c>
      <c r="B61" s="34">
        <v>205.8</v>
      </c>
      <c r="C61" s="35">
        <v>878.2976000000001</v>
      </c>
      <c r="D61" s="36">
        <v>1915.6936000000001</v>
      </c>
      <c r="E61" s="36">
        <v>2793.9912000000004</v>
      </c>
      <c r="F61" s="72">
        <v>1.1659999999999999E-3</v>
      </c>
      <c r="G61" s="74">
        <v>0.1133</v>
      </c>
      <c r="H61" s="24"/>
      <c r="I61" s="82">
        <v>205</v>
      </c>
      <c r="J61" s="34">
        <v>368.2</v>
      </c>
      <c r="K61" s="35">
        <v>1860.3347999999999</v>
      </c>
      <c r="L61" s="36">
        <v>518.2328</v>
      </c>
      <c r="M61" s="36">
        <v>2378.5675999999999</v>
      </c>
      <c r="N61" s="72">
        <v>2.1280000000000001E-3</v>
      </c>
      <c r="O61" s="77">
        <v>5.3749999999999996E-3</v>
      </c>
    </row>
    <row r="62" spans="1:15" x14ac:dyDescent="0.2">
      <c r="A62" s="84">
        <v>17</v>
      </c>
      <c r="B62" s="26">
        <v>207.1</v>
      </c>
      <c r="C62" s="27">
        <v>884.81039999999996</v>
      </c>
      <c r="D62" s="28">
        <v>1910.1112000000001</v>
      </c>
      <c r="E62" s="28">
        <v>2794.9216000000001</v>
      </c>
      <c r="F62" s="71">
        <v>1.168E-3</v>
      </c>
      <c r="G62" s="73">
        <v>0.11020000000000001</v>
      </c>
      <c r="H62" s="24"/>
      <c r="I62" s="82">
        <v>210</v>
      </c>
      <c r="J62" s="26">
        <v>370.2</v>
      </c>
      <c r="K62" s="27">
        <v>1896.1552000000001</v>
      </c>
      <c r="L62" s="28">
        <v>438.9162</v>
      </c>
      <c r="M62" s="28">
        <v>2335.0714000000003</v>
      </c>
      <c r="N62" s="71">
        <v>2.2360000000000001E-3</v>
      </c>
      <c r="O62" s="76">
        <v>4.9109999999999996E-3</v>
      </c>
    </row>
    <row r="63" spans="1:15" ht="13.5" thickBot="1" x14ac:dyDescent="0.25">
      <c r="A63" s="85">
        <v>17.5</v>
      </c>
      <c r="B63" s="34">
        <v>208.5</v>
      </c>
      <c r="C63" s="35">
        <v>890.85800000000006</v>
      </c>
      <c r="D63" s="36">
        <v>1904.5288</v>
      </c>
      <c r="E63" s="36">
        <v>2795.3868000000002</v>
      </c>
      <c r="F63" s="72">
        <v>1.17E-3</v>
      </c>
      <c r="G63" s="74">
        <v>0.10730000000000001</v>
      </c>
      <c r="H63" s="46"/>
      <c r="I63" s="86">
        <v>220.21799999999999</v>
      </c>
      <c r="J63" s="34">
        <v>374.2</v>
      </c>
      <c r="K63" s="35">
        <v>2107.3560000000002</v>
      </c>
      <c r="L63" s="36">
        <v>0</v>
      </c>
      <c r="M63" s="36">
        <v>2107.3560000000002</v>
      </c>
      <c r="N63" s="72">
        <v>3.1700000000000001E-3</v>
      </c>
      <c r="O63" s="77">
        <v>3.1700000000000001E-3</v>
      </c>
    </row>
    <row r="64" spans="1:15" x14ac:dyDescent="0.2">
      <c r="A64" s="1"/>
      <c r="B64" s="1"/>
      <c r="C64" s="1"/>
      <c r="D64" s="1"/>
      <c r="E64" s="1"/>
      <c r="H64" s="49"/>
      <c r="I64" s="49"/>
      <c r="J64" s="49"/>
      <c r="K64" s="49"/>
      <c r="L64" s="49"/>
      <c r="M64" s="49"/>
      <c r="N64" s="50"/>
      <c r="O64" s="51"/>
    </row>
    <row r="65" spans="1:15" x14ac:dyDescent="0.2">
      <c r="A65" s="237"/>
      <c r="B65" s="237"/>
      <c r="C65" s="1"/>
      <c r="D65" s="1"/>
      <c r="E65" s="1"/>
      <c r="H65" s="49"/>
      <c r="I65" s="49"/>
      <c r="J65" s="49"/>
      <c r="K65" s="49"/>
      <c r="L65" s="49"/>
      <c r="M65" s="49"/>
      <c r="N65" s="50"/>
      <c r="O65" s="51"/>
    </row>
    <row r="66" spans="1:15" x14ac:dyDescent="0.2">
      <c r="A66" s="1"/>
      <c r="B66" s="1"/>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Calculator</vt:lpstr>
      <vt:lpstr>Summary</vt:lpstr>
      <vt:lpstr>Config</vt:lpstr>
      <vt:lpstr>BarometricPressure</vt:lpstr>
      <vt:lpstr>Saturation Chart, ISA</vt:lpstr>
      <vt:lpstr>Saturation Chart, Metric</vt:lpstr>
      <vt:lpstr>AP</vt:lpstr>
      <vt:lpstr>App</vt:lpstr>
      <vt:lpstr>BarPressure</vt:lpstr>
      <vt:lpstr>cpdh</vt:lpstr>
      <vt:lpstr>Ctrl</vt:lpstr>
      <vt:lpstr>CvL</vt:lpstr>
      <vt:lpstr>CvM</vt:lpstr>
      <vt:lpstr>cvOneThird</vt:lpstr>
      <vt:lpstr>CvS</vt:lpstr>
      <vt:lpstr>cvTwoThird</vt:lpstr>
      <vt:lpstr>DisclaimerRow</vt:lpstr>
      <vt:lpstr>DisclaimerValue</vt:lpstr>
      <vt:lpstr>DSP</vt:lpstr>
      <vt:lpstr>DSPM</vt:lpstr>
      <vt:lpstr>FlowRate</vt:lpstr>
      <vt:lpstr>frOneThird</vt:lpstr>
      <vt:lpstr>frTwoThird</vt:lpstr>
      <vt:lpstr>h</vt:lpstr>
      <vt:lpstr>hM</vt:lpstr>
      <vt:lpstr>PI</vt:lpstr>
      <vt:lpstr>Pia</vt:lpstr>
      <vt:lpstr>PO</vt:lpstr>
      <vt:lpstr>POA</vt:lpstr>
      <vt:lpstr>PoaM</vt:lpstr>
      <vt:lpstr>PSI</vt:lpstr>
      <vt:lpstr>Q</vt:lpstr>
      <vt:lpstr>SATURATIONCHART</vt:lpstr>
      <vt:lpstr>SATURATIONCHARTMETRIC</vt:lpstr>
      <vt:lpstr>TAG</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Bob Collins</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2025-05-19T14:50:30Z</dcterms:modified>
</cp:coreProperties>
</file>